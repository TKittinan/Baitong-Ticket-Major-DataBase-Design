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ce396\"/>
    </mc:Choice>
  </mc:AlternateContent>
  <xr:revisionPtr revIDLastSave="0" documentId="13_ncr:1_{9E7641BA-CE92-4721-83F8-15D66F77D28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ata" sheetId="1" r:id="rId1"/>
    <sheet name="1NF" sheetId="13" r:id="rId2"/>
    <sheet name="2NF" sheetId="14" r:id="rId3"/>
    <sheet name="3NF" sheetId="12" r:id="rId4"/>
    <sheet name="Data Dictionary" sheetId="1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9" i="12" l="1"/>
  <c r="AA18" i="12"/>
  <c r="AA17" i="12"/>
  <c r="AC17" i="14"/>
  <c r="AC19" i="14"/>
  <c r="AC18" i="14"/>
</calcChain>
</file>

<file path=xl/sharedStrings.xml><?xml version="1.0" encoding="utf-8"?>
<sst xmlns="http://schemas.openxmlformats.org/spreadsheetml/2006/main" count="1721" uniqueCount="425">
  <si>
    <t>User</t>
  </si>
  <si>
    <t>Event Category</t>
  </si>
  <si>
    <t>Cart</t>
  </si>
  <si>
    <t>user_id</t>
  </si>
  <si>
    <t>user_firebase_uid</t>
  </si>
  <si>
    <t>user_name</t>
  </si>
  <si>
    <t>user_email</t>
  </si>
  <si>
    <t>phone</t>
  </si>
  <si>
    <t>status</t>
  </si>
  <si>
    <t>timestamps</t>
  </si>
  <si>
    <t>event_category_id</t>
  </si>
  <si>
    <t>category_name</t>
  </si>
  <si>
    <t>cart_id</t>
  </si>
  <si>
    <t>cust_id</t>
  </si>
  <si>
    <t>cart_order</t>
  </si>
  <si>
    <t>U001</t>
  </si>
  <si>
    <t>fb65710c-2a84-4728-a9f8-6e1dcc4d067a</t>
  </si>
  <si>
    <t>admin_1</t>
  </si>
  <si>
    <t>admin1@baitong.ticket.com</t>
  </si>
  <si>
    <t>081-000-0001</t>
  </si>
  <si>
    <t>active</t>
  </si>
  <si>
    <t>9/10/2025  10:30:00 / 11/11/2025  10:30:00</t>
  </si>
  <si>
    <t>EC001</t>
  </si>
  <si>
    <t>Concert</t>
  </si>
  <si>
    <t>CA001</t>
  </si>
  <si>
    <t>C001</t>
  </si>
  <si>
    <t>open</t>
  </si>
  <si>
    <t>11/11/2025  11:20:00 AM / 11/11/2025  11:25:30 AM</t>
  </si>
  <si>
    <t>P001,1,890 / P002,2,1290</t>
  </si>
  <si>
    <t>U002</t>
  </si>
  <si>
    <t>557162a9-b666-4eb7-9160-8f1ab18d113c</t>
  </si>
  <si>
    <t>admin_2</t>
  </si>
  <si>
    <t>admin2@baitong.ticket.com</t>
  </si>
  <si>
    <t>081-000-0002</t>
  </si>
  <si>
    <t>EC002</t>
  </si>
  <si>
    <t>Sports</t>
  </si>
  <si>
    <t>CA002</t>
  </si>
  <si>
    <t>C002</t>
  </si>
  <si>
    <t>11/11/2025  11:21:00 AM / 11/11/2025  11:32:00 AM</t>
  </si>
  <si>
    <t>T001,1,4500 / T002,2,2500</t>
  </si>
  <si>
    <t>EC003</t>
  </si>
  <si>
    <t>Performing Arts</t>
  </si>
  <si>
    <t>CA003</t>
  </si>
  <si>
    <t>C003</t>
  </si>
  <si>
    <t>checked_out</t>
  </si>
  <si>
    <t>11/11/2025  11:22:00 AM / 11/11/2025  11:45:00 AM</t>
  </si>
  <si>
    <t>P001,1,890</t>
  </si>
  <si>
    <t>Customer</t>
  </si>
  <si>
    <t>cust_firebase_uid</t>
  </si>
  <si>
    <t>cust_name</t>
  </si>
  <si>
    <t>cust_email</t>
  </si>
  <si>
    <t>Event</t>
  </si>
  <si>
    <t>Order</t>
  </si>
  <si>
    <t>0727035f-cffc-4a75-b096-b75f69b39d83</t>
  </si>
  <si>
    <t>Anan Phasuk</t>
  </si>
  <si>
    <t>anan001@example.com</t>
  </si>
  <si>
    <t>089-111-0001</t>
  </si>
  <si>
    <t>11/11/2025  11:30:00 / 11/11/2025  15:35:00</t>
  </si>
  <si>
    <t>event_id</t>
  </si>
  <si>
    <t>event_name</t>
  </si>
  <si>
    <t>description</t>
  </si>
  <si>
    <t>event_date</t>
  </si>
  <si>
    <t>location</t>
  </si>
  <si>
    <t>cover_image</t>
  </si>
  <si>
    <t>tickets</t>
  </si>
  <si>
    <t>order_id</t>
  </si>
  <si>
    <t>order_date</t>
  </si>
  <si>
    <t>pay</t>
  </si>
  <si>
    <t>order</t>
  </si>
  <si>
    <t>082cca8b-b6bc-45be-b2c5-200958f3ec81</t>
  </si>
  <si>
    <t>Benjawan S.</t>
  </si>
  <si>
    <t>benja002@example.com</t>
  </si>
  <si>
    <t>089-111-0002</t>
  </si>
  <si>
    <t>11/11/2025  12:40:00 / 11/11/2025  14:45:00</t>
  </si>
  <si>
    <t>E001</t>
  </si>
  <si>
    <t>BLACKPINK WORLD TOUR</t>
  </si>
  <si>
    <t>K-pop concert</t>
  </si>
  <si>
    <t>Impact Arena</t>
  </si>
  <si>
    <t>img1.jpg</t>
  </si>
  <si>
    <t>published</t>
  </si>
  <si>
    <t>EC001,VIP,4500,100 / Regular,2500,300</t>
  </si>
  <si>
    <t>O001</t>
  </si>
  <si>
    <t>credit_card / 2880</t>
  </si>
  <si>
    <t>paid</t>
  </si>
  <si>
    <t>11/11/2025  11:35:00 AM / 11/11/2025  11:50:00 AM</t>
  </si>
  <si>
    <t>07eed45b-2c49-494a-9977-ad7b34d1678c</t>
  </si>
  <si>
    <t>Chaiwat T.</t>
  </si>
  <si>
    <t>chai003@example.com</t>
  </si>
  <si>
    <t>089-111-0003</t>
  </si>
  <si>
    <t>11/11/2025  12:45:00 / 11/11/2025  16:45:00</t>
  </si>
  <si>
    <t>E002</t>
  </si>
  <si>
    <t>Thailand Open Final</t>
  </si>
  <si>
    <t>Badminton final</t>
  </si>
  <si>
    <t>Bangkok Stadium</t>
  </si>
  <si>
    <t>img2.jpg</t>
  </si>
  <si>
    <t>EC002,Court-side,3500,80</t>
  </si>
  <si>
    <t>O002</t>
  </si>
  <si>
    <t>promptpay / 9500</t>
  </si>
  <si>
    <t>pending</t>
  </si>
  <si>
    <t>11/11/2025  11:40:00 AM / 11/11/2025  11:45:00 AM</t>
  </si>
  <si>
    <t>C004</t>
  </si>
  <si>
    <t>97e36290-789d-4691-b154-c04efb82cb6c</t>
  </si>
  <si>
    <t>Daranrat P.</t>
  </si>
  <si>
    <t>dara004@example.com</t>
  </si>
  <si>
    <t>089-111-0004</t>
  </si>
  <si>
    <t>11/11/2025  14:40:00 / 11/11/2025  17:45:00</t>
  </si>
  <si>
    <t>E003</t>
  </si>
  <si>
    <t>Phantom of the Opera</t>
  </si>
  <si>
    <t>Musical show</t>
  </si>
  <si>
    <t>Thailand Cultural Center</t>
  </si>
  <si>
    <t>img3.jpg</t>
  </si>
  <si>
    <t>EC003,VIP,8500,200 / Regular,4500,500</t>
  </si>
  <si>
    <t>O003</t>
  </si>
  <si>
    <t>credit_card / 890</t>
  </si>
  <si>
    <t>11/11/2025  11:45:00 AM / 11/11/2025  12:15:00 AM</t>
  </si>
  <si>
    <t>Product</t>
  </si>
  <si>
    <t>Ticket Pass</t>
  </si>
  <si>
    <t>product_id</t>
  </si>
  <si>
    <t>product_name</t>
  </si>
  <si>
    <t>product</t>
  </si>
  <si>
    <t>image_url</t>
  </si>
  <si>
    <t>ticket_id(PK)</t>
  </si>
  <si>
    <t>order_item_id</t>
  </si>
  <si>
    <t>Ticket detail</t>
  </si>
  <si>
    <t>P001</t>
  </si>
  <si>
    <t>BP Official T-Shirt / Tour Hoodie</t>
  </si>
  <si>
    <t>t-shirt,200,890 / hoodie,120,1590</t>
  </si>
  <si>
    <t>bp-shirt.jpg / hoodie.jpg</t>
  </si>
  <si>
    <t>(U001,11/11/2025  10:30:00 / 11/11/2025  10:35:00)</t>
  </si>
  <si>
    <t>TK01</t>
  </si>
  <si>
    <t>OI003</t>
  </si>
  <si>
    <t>99,Qr101,unactive</t>
  </si>
  <si>
    <t>unactive</t>
  </si>
  <si>
    <t>P002</t>
  </si>
  <si>
    <t>Merch Bundle A / Lightstick</t>
  </si>
  <si>
    <t>merch bundle,80,1990 / accessory,150,1290</t>
  </si>
  <si>
    <t>bundleA.jpg / lightstick.jpg</t>
  </si>
  <si>
    <t>(U002,11/11/2025  10:40:00 / 11/11/2025  10:45:00)</t>
  </si>
  <si>
    <t>TK02</t>
  </si>
  <si>
    <t>OI004</t>
  </si>
  <si>
    <t>1,Qr102,unactive</t>
  </si>
  <si>
    <t>TK03</t>
  </si>
  <si>
    <t>2,Qr103,unactive</t>
  </si>
  <si>
    <t>Promotion</t>
  </si>
  <si>
    <t>promo_id</t>
  </si>
  <si>
    <t>promo_name</t>
  </si>
  <si>
    <t>discount</t>
  </si>
  <si>
    <t>date</t>
  </si>
  <si>
    <t>PR001</t>
  </si>
  <si>
    <t>Flash Sale 20%</t>
  </si>
  <si>
    <t>percent , 20</t>
  </si>
  <si>
    <t>15/11/2025 / 30/11/2025</t>
  </si>
  <si>
    <t>(U001,11/11/2025  11:00:00 AM)</t>
  </si>
  <si>
    <t>PR002</t>
  </si>
  <si>
    <t>Season Pass Discount</t>
  </si>
  <si>
    <t>fixed , 300</t>
  </si>
  <si>
    <t>20/11/2025 / 31/1/2026</t>
  </si>
  <si>
    <t>(U002,11/15/2025  10:03:00 AM)</t>
  </si>
  <si>
    <t>create</t>
  </si>
  <si>
    <t>update</t>
  </si>
  <si>
    <t>event_category_id(PK)</t>
  </si>
  <si>
    <t>cart_id(PK)</t>
  </si>
  <si>
    <t>delete</t>
  </si>
  <si>
    <t>event_ticket_id</t>
  </si>
  <si>
    <t>quantity</t>
  </si>
  <si>
    <t>unit_price</t>
  </si>
  <si>
    <t>P003</t>
  </si>
  <si>
    <t>T001</t>
  </si>
  <si>
    <t>T002</t>
  </si>
  <si>
    <t>event_id(PK)</t>
  </si>
  <si>
    <t>tickets_name</t>
  </si>
  <si>
    <t>price</t>
  </si>
  <si>
    <t>stock</t>
  </si>
  <si>
    <t>VIP</t>
  </si>
  <si>
    <t>Regular</t>
  </si>
  <si>
    <t>order_id(PK)</t>
  </si>
  <si>
    <t>payment_method</t>
  </si>
  <si>
    <t>Court-side</t>
  </si>
  <si>
    <t>credit_card</t>
  </si>
  <si>
    <t>promptpay</t>
  </si>
  <si>
    <t>product_id(PK)</t>
  </si>
  <si>
    <t>product_type</t>
  </si>
  <si>
    <t>created_by_user_id</t>
  </si>
  <si>
    <t>BP Official T-Shirt</t>
  </si>
  <si>
    <t>t-shirt</t>
  </si>
  <si>
    <t>bp-shirt.jpg</t>
  </si>
  <si>
    <t>seat</t>
  </si>
  <si>
    <t>qr_code</t>
  </si>
  <si>
    <t>created</t>
  </si>
  <si>
    <t>updated</t>
  </si>
  <si>
    <t>Tour Hoodie</t>
  </si>
  <si>
    <t>hoodie</t>
  </si>
  <si>
    <t>hoodie.jpg</t>
  </si>
  <si>
    <t>Qr101</t>
  </si>
  <si>
    <t>Merch Bundle A</t>
  </si>
  <si>
    <t>merch bundle</t>
  </si>
  <si>
    <t>bundleA.jpg</t>
  </si>
  <si>
    <t>Qr102</t>
  </si>
  <si>
    <t>P004</t>
  </si>
  <si>
    <t>Lightstick</t>
  </si>
  <si>
    <t>accessory</t>
  </si>
  <si>
    <t>lightstick.jpg</t>
  </si>
  <si>
    <t>Qr103</t>
  </si>
  <si>
    <t>promo_id(PK)</t>
  </si>
  <si>
    <t>discount_type</t>
  </si>
  <si>
    <t>value</t>
  </si>
  <si>
    <t>start_date</t>
  </si>
  <si>
    <t>end_date</t>
  </si>
  <si>
    <t>percent</t>
  </si>
  <si>
    <t>15/11/2025</t>
  </si>
  <si>
    <t xml:space="preserve"> 30/11/2025</t>
  </si>
  <si>
    <t>fixed</t>
  </si>
  <si>
    <t>20/11/2025</t>
  </si>
  <si>
    <t xml:space="preserve"> 31/1/2026</t>
  </si>
  <si>
    <t>user_email(CK)</t>
  </si>
  <si>
    <t>category_name(CK)</t>
  </si>
  <si>
    <t>cust_email(CK)</t>
  </si>
  <si>
    <t>Cart Item</t>
  </si>
  <si>
    <t>event_name(CK)</t>
  </si>
  <si>
    <t>event_date(CK)</t>
  </si>
  <si>
    <t>deleted</t>
  </si>
  <si>
    <t>cart_item_id(PK)</t>
  </si>
  <si>
    <t>cart_id(CK)</t>
  </si>
  <si>
    <t>product_id(CK)</t>
  </si>
  <si>
    <t>price_at_time</t>
  </si>
  <si>
    <t>CI001</t>
  </si>
  <si>
    <t>15/1/2026</t>
  </si>
  <si>
    <t>15/11/2025  10:15</t>
  </si>
  <si>
    <t>CI002</t>
  </si>
  <si>
    <t>30/11/2025  10:10</t>
  </si>
  <si>
    <t>CI003</t>
  </si>
  <si>
    <t>CI004</t>
  </si>
  <si>
    <t>Event Ticket</t>
  </si>
  <si>
    <t>CI005</t>
  </si>
  <si>
    <t>event_ticket_id(PK)</t>
  </si>
  <si>
    <t>event_id(CK)</t>
  </si>
  <si>
    <t>ticket_name(CK)</t>
  </si>
  <si>
    <t>sale_start</t>
  </si>
  <si>
    <t>sale_end</t>
  </si>
  <si>
    <t>on_sale</t>
  </si>
  <si>
    <t>total_amount</t>
  </si>
  <si>
    <t>T003</t>
  </si>
  <si>
    <t>T004</t>
  </si>
  <si>
    <t>C005</t>
  </si>
  <si>
    <t>T005</t>
  </si>
  <si>
    <t>Order Item</t>
  </si>
  <si>
    <t>product_name(CK)</t>
  </si>
  <si>
    <t>product_type(CK)</t>
  </si>
  <si>
    <t>order_item_id(PK)</t>
  </si>
  <si>
    <t>order_id(CK)</t>
  </si>
  <si>
    <t>event_ticket_id(CK)</t>
  </si>
  <si>
    <t>OI001</t>
  </si>
  <si>
    <t>OI002</t>
  </si>
  <si>
    <t>OI005</t>
  </si>
  <si>
    <t>promo_name(CK)</t>
  </si>
  <si>
    <t>Flash Sale 10%</t>
  </si>
  <si>
    <t>qr_code(CK)</t>
  </si>
  <si>
    <t>cust_id(FK)</t>
  </si>
  <si>
    <t>event_category_id(FK)</t>
  </si>
  <si>
    <t>cart_id(FK)</t>
  </si>
  <si>
    <t>product_id(FK)</t>
  </si>
  <si>
    <t>event_id(CK),(FK)</t>
  </si>
  <si>
    <t>created_by_user_id(FK)</t>
  </si>
  <si>
    <t>order_id(FK)</t>
  </si>
  <si>
    <t>event_ticket_id(FK)</t>
  </si>
  <si>
    <t>order_item_id(FK)</t>
  </si>
  <si>
    <t>USER</t>
  </si>
  <si>
    <t>EVENT_CATEGORY</t>
  </si>
  <si>
    <t>PRODUCT</t>
  </si>
  <si>
    <t>CART</t>
  </si>
  <si>
    <t>TICKET_PASS</t>
  </si>
  <si>
    <t>Field</t>
  </si>
  <si>
    <t>Type</t>
  </si>
  <si>
    <t>Key</t>
  </si>
  <si>
    <t>Description</t>
  </si>
  <si>
    <t>PK</t>
  </si>
  <si>
    <t>ticket_id</t>
  </si>
  <si>
    <t>-</t>
  </si>
  <si>
    <t>ชื่อสินค้า</t>
  </si>
  <si>
    <t>FK</t>
  </si>
  <si>
    <t>EVENT</t>
  </si>
  <si>
    <t>INT</t>
  </si>
  <si>
    <t>CART_ITEM</t>
  </si>
  <si>
    <t>TEXT</t>
  </si>
  <si>
    <t>cart_item_id</t>
  </si>
  <si>
    <t>CUSTOMER</t>
  </si>
  <si>
    <t>DATE</t>
  </si>
  <si>
    <t>วันที่จัดงาน</t>
  </si>
  <si>
    <t>ชื่อลูกค้า</t>
  </si>
  <si>
    <t>PROMOTION</t>
  </si>
  <si>
    <t>ORDER</t>
  </si>
  <si>
    <t>EVENT_TICKET</t>
  </si>
  <si>
    <t>ticket_name</t>
  </si>
  <si>
    <t>ORDER_ITEM</t>
  </si>
  <si>
    <t>สถานะผู้ใช้ เช่น active, inactive, suspended</t>
  </si>
  <si>
    <t>วัน–เวลาที่สร้างข้อมูลผู้ใช้</t>
  </si>
  <si>
    <t>วัน–เวลาที่อัปเดตข้อมูลล่าสุด</t>
  </si>
  <si>
    <t>UID จาก Firebase Authentication เพื่อผูกบัญชีผู้ใช้กับ Firebase</t>
  </si>
  <si>
    <t>อีเมลของผู้ใช้ระบบ ต้องไม่ซ้ำกัน ใช้สำหรับล็อกอิน/ติดต่อ</t>
  </si>
  <si>
    <t>รหัสผู้ใช้ระบบ กำหนดเอง เช่น U001, U002 ใช้เป็น Primary Key</t>
  </si>
  <si>
    <t>ชื่อฟิลด์</t>
  </si>
  <si>
    <t>ชนิดข้อมูล</t>
  </si>
  <si>
    <t>คีย์</t>
  </si>
  <si>
    <t>Null</t>
  </si>
  <si>
    <t>คำอธิบาย</t>
  </si>
  <si>
    <t>VARCHAR(10)</t>
  </si>
  <si>
    <t>NO</t>
  </si>
  <si>
    <t>VARCHAR(100)</t>
  </si>
  <si>
    <t>YES</t>
  </si>
  <si>
    <t>ชื่อของผู้ใช้ระบบ (แอดมิน / สตาฟ)</t>
  </si>
  <si>
    <t>CK/UNIQUE</t>
  </si>
  <si>
    <t>VARCHAR(200)</t>
  </si>
  <si>
    <t>VARCHAR(20)</t>
  </si>
  <si>
    <t>เบอร์โทรศัพท์ของผู้ใช้ระบบ</t>
  </si>
  <si>
    <t>TIMESTAMP</t>
  </si>
  <si>
    <t>รหัสลูกค้า เช่น C001 ใช้เป็น Primary Key</t>
  </si>
  <si>
    <t>อีเมลของลูกค้า ต้องไม่ซ้ำ ใช้สำหรับติดต่อ/ล็อกอิน</t>
  </si>
  <si>
    <t>UID ของลูกค้าใน Firebase ใช้โยงกับระบบ Auth</t>
  </si>
  <si>
    <t>เบอร์โทรลูกค้า</t>
  </si>
  <si>
    <t>สถานะ เช่น active, banned, deleted</t>
  </si>
  <si>
    <t>วัน–เวลาที่สมัคร/สร้างข้อมูลลูกค้า</t>
  </si>
  <si>
    <t>วัน–เวลาที่อัปเดตข้อมูลลูกค้าล่าสุด</t>
  </si>
  <si>
    <t>รหัสประเภทอีเวนต์ เช่น EC01, EC02</t>
  </si>
  <si>
    <t>ชื่อประเภท เช่น Concert, Sports ต้องไม่ซ้ำ</t>
  </si>
  <si>
    <t>สถานะ เช่น active, inactive</t>
  </si>
  <si>
    <t>รหัสงานอีเวนต์ เช่น E001</t>
  </si>
  <si>
    <t>ชื่องานอีเวนต์ เช่น BLACKPINK WORLD TOUR</t>
  </si>
  <si>
    <t>รายละเอียดอีเวนต์ (คำอธิบายยาว)</t>
  </si>
  <si>
    <t>สถานที่จัดงาน</t>
  </si>
  <si>
    <t>URL หรือ path รูปหน้าปกของอีเวนต์</t>
  </si>
  <si>
    <t>สถานะอีเวนต์ เช่น draft, published, cancelled</t>
  </si>
  <si>
    <t>FK ไปที่ EVENT_CATEGORY(event_category_id) เพื่อบอกว่าเป็นประเภทใด</t>
  </si>
  <si>
    <t>วัน–เวลาที่สร้างงานนี้</t>
  </si>
  <si>
    <t>วัน–เวลาที่อัปเดตล่าสุด</t>
  </si>
  <si>
    <t>วัน–เวลาที่ทำ Soft Delete (ถ้ามี)</t>
  </si>
  <si>
    <t>รหัสประเภทบัตร เช่น T001</t>
  </si>
  <si>
    <t>FK ไป EVENTS(event_id) ระบุว่าเป็นบัตรของงานไหน</t>
  </si>
  <si>
    <t>ชื่อประเภทบัตร เช่น VIP, Regular</t>
  </si>
  <si>
    <t>DECIMAL(10,2)</t>
  </si>
  <si>
    <t>ราคาบัตรต่อ 1 ใบ ณ ปัจจุบัน</t>
  </si>
  <si>
    <t>จำนวนบัตรคงเหลือในสต็อก</t>
  </si>
  <si>
    <t>วัน–เวลาเริ่มขายบัตร</t>
  </si>
  <si>
    <t>วัน–เวลาปิดการขายบัตร</t>
  </si>
  <si>
    <t>สถานะประเภทบัตร เช่น on_sale, sold_out, closed</t>
  </si>
  <si>
    <t>วัน–เวลาที่สร้างประเภทบัตรนี้</t>
  </si>
  <si>
    <t>วัน–เวลาที่แก้ไขข้อมูลล่าสุด</t>
  </si>
  <si>
    <t>วัน–เวลาที่ Soft Delete ประเภทบัตรนี้ (ถ้ามี)</t>
  </si>
  <si>
    <t>รหัสสินค้า เช่น P001</t>
  </si>
  <si>
    <t>VARCHAR(50)</t>
  </si>
  <si>
    <t>ประเภทสินค้า เช่น t-shirt, hoodie, accessory</t>
  </si>
  <si>
    <t>ราคาต่อหน่วย ณ ปัจจุบัน</t>
  </si>
  <si>
    <t>จำนวนสินค้าในสต็อก</t>
  </si>
  <si>
    <t>URL หรือ path รูปสินค้า</t>
  </si>
  <si>
    <t>สถานะสินค้า เช่น active, inactive, out_of_stock</t>
  </si>
  <si>
    <t>FK ไป USERS(user_id) ว่าใครเป็นคนสร้างสินค้า</t>
  </si>
  <si>
    <t>วัน–เวลาที่สร้างข้อมูลสินค้า</t>
  </si>
  <si>
    <t>วัน–เวลาที่ปรับปรุงข้อมูลล่าสุด</t>
  </si>
  <si>
    <t>วัน–เวลาที่ Soft Delete สินค้า (ถ้ามี)</t>
  </si>
  <si>
    <t>รหัสโปรโมชัน เช่น PR001</t>
  </si>
  <si>
    <t>ชื่อโปรโมชัน เช่น Flash Sale 20%</t>
  </si>
  <si>
    <t>ประเภทส่วนลด เช่น percent, fixed</t>
  </si>
  <si>
    <t>ค่าเปอร์เซ็นต์ หรือจำนวนเงินที่ใช้ลด</t>
  </si>
  <si>
    <t>วันที่เริ่มใช้โปรโมชัน</t>
  </si>
  <si>
    <t>วันที่หมดอายุโปรโมชัน</t>
  </si>
  <si>
    <t>สถานะโปรโมชัน เช่น active, expired, disabled</t>
  </si>
  <si>
    <t>FK ไป USERS(user_id) ว่าใครเป็นคนสร้างโปรโมชันนี้</t>
  </si>
  <si>
    <t>วัน–เวลาที่สร้างโปรโมชัน</t>
  </si>
  <si>
    <t>วัน–เวลาที่แก้ไขล่าสุด</t>
  </si>
  <si>
    <t>วัน–เวลาที่ Soft Delete โปรโมชัน (ถ้ามี)</t>
  </si>
  <si>
    <t>รหัสตะกร้า เช่น CA001</t>
  </si>
  <si>
    <t>FK ไป CUSTOMER(cust_id) ระบุว่าตะกร้านี้เป็นของลูกค้าคนไหน</t>
  </si>
  <si>
    <t>สถานะตะกร้า เช่น open, checked_out, abandoned</t>
  </si>
  <si>
    <t>วัน–เวลาที่สร้างตะกร้านี้</t>
  </si>
  <si>
    <t>รหัสรายการในตะกร้า เช่น CI001</t>
  </si>
  <si>
    <t>FK ไป CART(cart_id) ระบุว่ารายการนี้อยู่ในตะกร้าไหน</t>
  </si>
  <si>
    <t>FK ไป PRODUCT(product_id) ถ้าเป็นสินค้า (กรณีไม่ได้เป็นบัตรงาน)</t>
  </si>
  <si>
    <t>FK ไป EVENT_TICKET(event_ticket_id) ถ้าเป็นบัตรงาน</t>
  </si>
  <si>
    <t>จำนวนที่ลูกค้าใส่ในตะกร้าของรายการนี้</t>
  </si>
  <si>
    <t>ราคาต่อหน่วย ณ ตอนที่ใส่ลงตะกร้า (snapshot)</t>
  </si>
  <si>
    <t>วัน–เวลาที่เพิ่มรายการนี้ลงตะกร้า</t>
  </si>
  <si>
    <t>วัน–เวลาที่แก้ไขรายการในตะกร้าล่าสุด</t>
  </si>
  <si>
    <t>รหัสออเดอร์ เช่น O001</t>
  </si>
  <si>
    <t>FK ไป CUSTOMER(cust_id) ระบุว่าเป็นออเดอร์ของลูกค้าคนไหน</t>
  </si>
  <si>
    <t>วัน–เวลาที่ลูกค้าทำการสั่งซื้อ</t>
  </si>
  <si>
    <t>total_before_discount</t>
  </si>
  <si>
    <t>ยอดรวมก่อนหักส่วนลด (sum ของ order_item quantity * unit_price)</t>
  </si>
  <si>
    <t>ยอดสุทธิหลังหักส่วนลดจริงแล้ว</t>
  </si>
  <si>
    <t>วิธีชำระเงิน เช่น credit_card, promptpay, cash</t>
  </si>
  <si>
    <t>สถานะออเดอร์ เช่น paid, pending, cancelled, refund</t>
  </si>
  <si>
    <t>FK ไป PROMOTION(promo_id) ถ้าออเดอร์นี้ใช้โปรโมชัน</t>
  </si>
  <si>
    <t>วัน–เวลาที่สร้างออเดอร์ (บันทึกคำสั่งซื้อ)</t>
  </si>
  <si>
    <t>วัน–เวลาที่แก้ไขสถานะ/ข้อมูลออเดอร์ล่าสุด</t>
  </si>
  <si>
    <t>วัน–เวลาที่ Soft Delete ออเดอร์ (ถ้ามี)</t>
  </si>
  <si>
    <t>รหัสรายการในออเดอร์ เช่น OI001</t>
  </si>
  <si>
    <t>FK ไป ORDERS(order_id) ระบุว่าเป็นรายการของออเดอร์ไหน</t>
  </si>
  <si>
    <t>FK ไป PRODUCT(product_id) ถ้าเป็นสินค้า</t>
  </si>
  <si>
    <t>จำนวนที่ลูกค้าซื้อของรายการนี้</t>
  </si>
  <si>
    <t>ราคาต่อหน่วย ณ ตอนออกออเดอร์ (snapshot)</t>
  </si>
  <si>
    <t>วัน–เวลาที่สร้างรายการในออเดอร์นี้</t>
  </si>
  <si>
    <t>วัน–เวลาที่แก้ไขรายการล่าสุด</t>
  </si>
  <si>
    <t>วัน–เวลาที่ Soft Delete รายการนี้ (ถ้ามี)</t>
  </si>
  <si>
    <t>รหัสตั๋วจริง เช่น TK001</t>
  </si>
  <si>
    <t>FK ไป ORDER_ITEM(order_item_id) ระบุว่าตั๋วใบนี้มาจากรายการไหนในออเดอร์</t>
  </si>
  <si>
    <t>เลขที่นั่ง เช่น A12, B5 ถ้าเป็นบัตรมีที่นั่ง</t>
  </si>
  <si>
    <t>รหัส QR ของตั๋ว ใช้สแกนหน้างาน ต้องไม่ซ้ำกัน</t>
  </si>
  <si>
    <t>สถานะตั๋ว เช่น unused, used, cancelled</t>
  </si>
  <si>
    <t>วัน–เวลาที่สร้างตั๋วใบนี้</t>
  </si>
  <si>
    <t>วัน–เวลาที่แก้ไขสถานะตั๋วล่าสุด</t>
  </si>
  <si>
    <t>วัน–เวลาที่ Soft Delete ตั๋วใบนี้ (ถ้ามี)</t>
  </si>
  <si>
    <t>เก็บข้อมูลผู้ใช้ระบบฝั่งแอดมินที่ล็อกอินหลังบ้าน</t>
  </si>
  <si>
    <t>เก็บข้อมูลลูกค้าที่ซื้อบัตร/สินค้า</t>
  </si>
  <si>
    <t>ประเภทของงานอีเวนต์ เช่น Concert / Sports / Performing Arts</t>
  </si>
  <si>
    <t>เก็บข้อมูลงานอีเวนต์ เช่น คอนเสิร์ต กีฬา การแสดงต่าง ๆ</t>
  </si>
  <si>
    <t>เก็บประเภทบัตรของแต่ละงาน เช่น VIP / Regular พร้อมราคาและช่วงขาย</t>
  </si>
  <si>
    <t>สินค้าใน Gift Shop</t>
  </si>
  <si>
    <t>เก็บข้อมูลโปรโมชัน เช่น ลดเปอร์เซ็นต์ หรือลดเป็นจำนวนเงินคงที่</t>
  </si>
  <si>
    <t>เก็บข้อมูลตะกร้าสินค้า/บัตรของลูกค้า ก่อนจะกลายเป็นออเดอร์</t>
  </si>
  <si>
    <t>รายการสินค้า/บัตรในตะกร้าแต่ละรายการ</t>
  </si>
  <si>
    <t>เก็บคำสั่งซื้อ ของลูกค้าแต่ละคน</t>
  </si>
  <si>
    <t>รายการสินค้า/บัตรในแต่ละออเดอร์</t>
  </si>
  <si>
    <t>ตั๋วใบจริงที่ใช้สแกนเข้างาน</t>
  </si>
  <si>
    <t>user_id(PK)</t>
  </si>
  <si>
    <t>user_firebase_uid(CK)</t>
  </si>
  <si>
    <t>cust_firebase_uid(CK)</t>
  </si>
  <si>
    <t>cust_id(PK)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</si>
</sst>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ahoma"/>
      <family val="2"/>
      <scheme val="minor"/>
    </font>
    <font>
      <b/>
      <sz val="16"/>
      <color theme="1"/>
      <name val="Arial"/>
    </font>
    <font>
      <sz val="12"/>
      <color theme="1"/>
      <name val="Arial"/>
    </font>
    <font>
      <b/>
      <sz val="12"/>
      <name val="Arial"/>
    </font>
    <font>
      <b/>
      <sz val="12"/>
      <color theme="1"/>
      <name val="Arial"/>
    </font>
    <font>
      <sz val="12"/>
      <color rgb="FF000000"/>
      <name val="Arial"/>
    </font>
    <font>
      <u/>
      <sz val="11"/>
      <color theme="10"/>
      <name val="Tahoma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2" fontId="2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22" fontId="2" fillId="0" borderId="5" xfId="0" applyNumberFormat="1" applyFont="1" applyBorder="1" applyAlignment="1">
      <alignment horizontal="center" vertical="center" wrapText="1"/>
    </xf>
    <xf numFmtId="22" fontId="5" fillId="0" borderId="5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/>
    </xf>
    <xf numFmtId="22" fontId="5" fillId="0" borderId="0" xfId="0" applyNumberFormat="1" applyFont="1" applyAlignment="1">
      <alignment horizontal="center" vertical="center"/>
    </xf>
    <xf numFmtId="22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1" xfId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2" fontId="8" fillId="0" borderId="5" xfId="0" applyNumberFormat="1" applyFont="1" applyBorder="1" applyAlignment="1">
      <alignment horizontal="center" vertical="center" wrapText="1"/>
    </xf>
    <xf numFmtId="22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22" fontId="8" fillId="0" borderId="0" xfId="0" applyNumberFormat="1" applyFont="1" applyAlignment="1">
      <alignment horizontal="center" vertical="center"/>
    </xf>
    <xf numFmtId="22" fontId="8" fillId="0" borderId="7" xfId="0" applyNumberFormat="1" applyFont="1" applyBorder="1" applyAlignment="1">
      <alignment horizontal="center" vertical="center" wrapText="1"/>
    </xf>
    <xf numFmtId="22" fontId="10" fillId="0" borderId="5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22" fontId="10" fillId="0" borderId="5" xfId="0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2" fontId="2" fillId="0" borderId="8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2" fontId="8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2" fontId="8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2" fontId="8" fillId="0" borderId="2" xfId="0" applyNumberFormat="1" applyFont="1" applyBorder="1" applyAlignment="1">
      <alignment horizontal="center" vertical="center" wrapText="1"/>
    </xf>
    <xf numFmtId="22" fontId="8" fillId="0" borderId="3" xfId="0" applyNumberFormat="1" applyFont="1" applyBorder="1" applyAlignment="1">
      <alignment horizontal="center" vertical="center" wrapText="1"/>
    </xf>
    <xf numFmtId="22" fontId="8" fillId="0" borderId="4" xfId="0" applyNumberFormat="1" applyFont="1" applyBorder="1" applyAlignment="1">
      <alignment horizontal="center" vertical="center" wrapText="1"/>
    </xf>
    <xf numFmtId="22" fontId="8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2@baitong.ticket.com" TargetMode="External"/><Relationship Id="rId1" Type="http://schemas.openxmlformats.org/officeDocument/2006/relationships/hyperlink" Target="mailto:admin1@baitong.ticket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2@baitong.ticket.com" TargetMode="External"/><Relationship Id="rId1" Type="http://schemas.openxmlformats.org/officeDocument/2006/relationships/hyperlink" Target="mailto:admin1@baitong.ticket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2@baitong.ticket.com" TargetMode="External"/><Relationship Id="rId1" Type="http://schemas.openxmlformats.org/officeDocument/2006/relationships/hyperlink" Target="mailto:admin1@baitong.ticket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2@baitong.ticket.com" TargetMode="External"/><Relationship Id="rId1" Type="http://schemas.openxmlformats.org/officeDocument/2006/relationships/hyperlink" Target="mailto:admin1@baitong.tick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"/>
  <sheetViews>
    <sheetView zoomScale="70" zoomScaleNormal="70" workbookViewId="0">
      <selection activeCell="V29" sqref="V29"/>
    </sheetView>
  </sheetViews>
  <sheetFormatPr defaultColWidth="30" defaultRowHeight="15" x14ac:dyDescent="0.2"/>
  <cols>
    <col min="1" max="1" width="8.75" style="2" bestFit="1" customWidth="1"/>
    <col min="2" max="2" width="42.375" style="2" bestFit="1" customWidth="1"/>
    <col min="3" max="3" width="13.5" style="2" bestFit="1" customWidth="1"/>
    <col min="4" max="4" width="24.25" style="2" bestFit="1" customWidth="1"/>
    <col min="5" max="5" width="14.375" style="2" bestFit="1" customWidth="1"/>
    <col min="6" max="6" width="7.375" style="2" bestFit="1" customWidth="1"/>
    <col min="7" max="7" width="44" style="2" customWidth="1"/>
    <col min="8" max="8" width="9.25" style="2" customWidth="1"/>
    <col min="9" max="9" width="20.625" style="2" bestFit="1" customWidth="1"/>
    <col min="10" max="10" width="31.5" style="2" bestFit="1" customWidth="1"/>
    <col min="11" max="11" width="43.625" style="2" bestFit="1" customWidth="1"/>
    <col min="12" max="12" width="25.625" style="2" bestFit="1" customWidth="1"/>
    <col min="13" max="13" width="24.25" style="2" bestFit="1" customWidth="1"/>
    <col min="14" max="14" width="14.5" style="2" bestFit="1" customWidth="1"/>
    <col min="15" max="15" width="10" style="2" bestFit="1" customWidth="1"/>
    <col min="16" max="16" width="40" style="2" bestFit="1" customWidth="1"/>
    <col min="17" max="17" width="9.125" style="2" customWidth="1"/>
    <col min="18" max="18" width="7.75" style="2" customWidth="1"/>
    <col min="19" max="19" width="14.25" style="2" bestFit="1" customWidth="1"/>
    <col min="20" max="20" width="15.625" style="2" bestFit="1" customWidth="1"/>
    <col min="21" max="21" width="18.5" style="2" bestFit="1" customWidth="1"/>
    <col min="22" max="22" width="51.125" style="2" bestFit="1" customWidth="1"/>
    <col min="23" max="23" width="27.125" style="2" bestFit="1" customWidth="1"/>
    <col min="24" max="24" width="51.125" style="2" bestFit="1" customWidth="1"/>
    <col min="25" max="25" width="27.125" style="2" bestFit="1" customWidth="1"/>
    <col min="26" max="16384" width="30" style="2"/>
  </cols>
  <sheetData>
    <row r="1" spans="1:38" ht="20.25" x14ac:dyDescent="0.2">
      <c r="A1" s="86" t="s">
        <v>0</v>
      </c>
      <c r="B1" s="86"/>
      <c r="C1" s="86"/>
      <c r="D1" s="86"/>
      <c r="E1" s="86"/>
      <c r="F1" s="86"/>
      <c r="G1" s="86"/>
      <c r="H1" s="1"/>
      <c r="I1" s="87" t="s">
        <v>1</v>
      </c>
      <c r="J1" s="88"/>
      <c r="K1" s="89"/>
      <c r="L1" s="1"/>
      <c r="M1" s="1"/>
      <c r="N1" s="1"/>
      <c r="O1" s="1"/>
      <c r="S1" s="87" t="s">
        <v>2</v>
      </c>
      <c r="T1" s="88"/>
      <c r="U1" s="88"/>
      <c r="V1" s="88"/>
      <c r="W1" s="89"/>
      <c r="X1" s="1"/>
    </row>
    <row r="2" spans="1:38" ht="15.75" x14ac:dyDescent="0.2">
      <c r="A2" s="61" t="s">
        <v>3</v>
      </c>
      <c r="B2" s="72" t="s">
        <v>4</v>
      </c>
      <c r="C2" s="72" t="s">
        <v>5</v>
      </c>
      <c r="D2" s="72" t="s">
        <v>6</v>
      </c>
      <c r="E2" s="72" t="s">
        <v>7</v>
      </c>
      <c r="F2" s="72" t="s">
        <v>8</v>
      </c>
      <c r="G2" s="72" t="s">
        <v>9</v>
      </c>
      <c r="I2" s="4" t="s">
        <v>10</v>
      </c>
      <c r="J2" s="4" t="s">
        <v>11</v>
      </c>
      <c r="K2" s="4" t="s">
        <v>8</v>
      </c>
      <c r="M2" s="5"/>
      <c r="N2" s="5"/>
      <c r="O2" s="5"/>
      <c r="S2" s="3" t="s">
        <v>12</v>
      </c>
      <c r="T2" s="3" t="s">
        <v>13</v>
      </c>
      <c r="U2" s="3" t="s">
        <v>8</v>
      </c>
      <c r="V2" s="3" t="s">
        <v>9</v>
      </c>
      <c r="W2" s="6" t="s">
        <v>14</v>
      </c>
    </row>
    <row r="3" spans="1:38" x14ac:dyDescent="0.2">
      <c r="A3" s="37" t="s">
        <v>15</v>
      </c>
      <c r="B3" s="9" t="s">
        <v>16</v>
      </c>
      <c r="C3" s="9" t="s">
        <v>17</v>
      </c>
      <c r="D3" s="34" t="s">
        <v>18</v>
      </c>
      <c r="E3" s="9" t="s">
        <v>19</v>
      </c>
      <c r="F3" s="9" t="s">
        <v>20</v>
      </c>
      <c r="G3" s="29" t="s">
        <v>21</v>
      </c>
      <c r="I3" s="9" t="s">
        <v>22</v>
      </c>
      <c r="J3" s="9" t="s">
        <v>23</v>
      </c>
      <c r="K3" s="9" t="s">
        <v>20</v>
      </c>
      <c r="M3" s="10"/>
      <c r="S3" s="7" t="s">
        <v>24</v>
      </c>
      <c r="T3" s="7" t="s">
        <v>25</v>
      </c>
      <c r="U3" s="7" t="s">
        <v>26</v>
      </c>
      <c r="V3" s="11" t="s">
        <v>27</v>
      </c>
      <c r="W3" s="40" t="s">
        <v>28</v>
      </c>
    </row>
    <row r="4" spans="1:38" x14ac:dyDescent="0.2">
      <c r="A4" s="37" t="s">
        <v>29</v>
      </c>
      <c r="B4" s="9" t="s">
        <v>30</v>
      </c>
      <c r="C4" s="9" t="s">
        <v>31</v>
      </c>
      <c r="D4" s="34" t="s">
        <v>32</v>
      </c>
      <c r="E4" s="9" t="s">
        <v>33</v>
      </c>
      <c r="F4" s="9" t="s">
        <v>20</v>
      </c>
      <c r="G4" s="71" t="s">
        <v>21</v>
      </c>
      <c r="I4" s="9" t="s">
        <v>34</v>
      </c>
      <c r="J4" s="9" t="s">
        <v>35</v>
      </c>
      <c r="K4" s="9" t="s">
        <v>20</v>
      </c>
      <c r="M4" s="10"/>
      <c r="S4" s="7" t="s">
        <v>36</v>
      </c>
      <c r="T4" s="7" t="s">
        <v>37</v>
      </c>
      <c r="U4" s="7" t="s">
        <v>26</v>
      </c>
      <c r="V4" s="11" t="s">
        <v>38</v>
      </c>
      <c r="W4" s="7" t="s">
        <v>39</v>
      </c>
    </row>
    <row r="5" spans="1:38" x14ac:dyDescent="0.2">
      <c r="I5" s="9" t="s">
        <v>40</v>
      </c>
      <c r="J5" s="9" t="s">
        <v>41</v>
      </c>
      <c r="K5" s="9" t="s">
        <v>20</v>
      </c>
      <c r="M5" s="10"/>
      <c r="S5" s="7" t="s">
        <v>42</v>
      </c>
      <c r="T5" s="7" t="s">
        <v>43</v>
      </c>
      <c r="U5" s="7" t="s">
        <v>44</v>
      </c>
      <c r="V5" s="11" t="s">
        <v>45</v>
      </c>
      <c r="W5" s="40" t="s">
        <v>46</v>
      </c>
    </row>
    <row r="6" spans="1:38" ht="20.25" x14ac:dyDescent="0.2">
      <c r="A6" s="86" t="s">
        <v>47</v>
      </c>
      <c r="B6" s="86"/>
      <c r="C6" s="86"/>
      <c r="D6" s="86"/>
      <c r="E6" s="86"/>
      <c r="F6" s="86"/>
      <c r="G6" s="86"/>
      <c r="H6" s="1"/>
    </row>
    <row r="7" spans="1:38" ht="20.25" x14ac:dyDescent="0.2">
      <c r="A7" s="61" t="s">
        <v>13</v>
      </c>
      <c r="B7" s="72" t="s">
        <v>48</v>
      </c>
      <c r="C7" s="72" t="s">
        <v>49</v>
      </c>
      <c r="D7" s="72" t="s">
        <v>50</v>
      </c>
      <c r="E7" s="72" t="s">
        <v>7</v>
      </c>
      <c r="F7" s="72" t="s">
        <v>8</v>
      </c>
      <c r="G7" s="72" t="s">
        <v>9</v>
      </c>
      <c r="I7" s="86" t="s">
        <v>51</v>
      </c>
      <c r="J7" s="86"/>
      <c r="K7" s="86"/>
      <c r="L7" s="86"/>
      <c r="M7" s="86"/>
      <c r="N7" s="86"/>
      <c r="O7" s="86"/>
      <c r="P7" s="86"/>
      <c r="Q7" s="25"/>
      <c r="S7" s="90" t="s">
        <v>52</v>
      </c>
      <c r="T7" s="90"/>
      <c r="U7" s="90"/>
      <c r="V7" s="90"/>
      <c r="W7" s="90"/>
      <c r="X7" s="90"/>
      <c r="Y7" s="90"/>
      <c r="Z7" s="1"/>
      <c r="AF7" s="1"/>
      <c r="AL7" s="22"/>
    </row>
    <row r="8" spans="1:38" ht="15.75" x14ac:dyDescent="0.2">
      <c r="A8" s="62" t="s">
        <v>25</v>
      </c>
      <c r="B8" s="63" t="s">
        <v>53</v>
      </c>
      <c r="C8" s="63" t="s">
        <v>54</v>
      </c>
      <c r="D8" s="63" t="s">
        <v>55</v>
      </c>
      <c r="E8" s="64" t="s">
        <v>56</v>
      </c>
      <c r="F8" s="63" t="s">
        <v>20</v>
      </c>
      <c r="G8" s="65" t="s">
        <v>57</v>
      </c>
      <c r="I8" s="72" t="s">
        <v>58</v>
      </c>
      <c r="J8" s="72" t="s">
        <v>59</v>
      </c>
      <c r="K8" s="72" t="s">
        <v>60</v>
      </c>
      <c r="L8" s="72" t="s">
        <v>61</v>
      </c>
      <c r="M8" s="72" t="s">
        <v>62</v>
      </c>
      <c r="N8" s="72" t="s">
        <v>63</v>
      </c>
      <c r="O8" s="72" t="s">
        <v>8</v>
      </c>
      <c r="P8" s="23" t="s">
        <v>64</v>
      </c>
      <c r="S8" s="13" t="s">
        <v>65</v>
      </c>
      <c r="T8" s="13" t="s">
        <v>13</v>
      </c>
      <c r="U8" s="13" t="s">
        <v>66</v>
      </c>
      <c r="V8" s="13" t="s">
        <v>67</v>
      </c>
      <c r="W8" s="13" t="s">
        <v>8</v>
      </c>
      <c r="X8" s="13" t="s">
        <v>9</v>
      </c>
      <c r="Y8" s="14" t="s">
        <v>68</v>
      </c>
      <c r="AL8" s="5"/>
    </row>
    <row r="9" spans="1:38" x14ac:dyDescent="0.2">
      <c r="A9" s="37" t="s">
        <v>37</v>
      </c>
      <c r="B9" s="9" t="s">
        <v>69</v>
      </c>
      <c r="C9" s="9" t="s">
        <v>70</v>
      </c>
      <c r="D9" s="9" t="s">
        <v>71</v>
      </c>
      <c r="E9" s="21" t="s">
        <v>72</v>
      </c>
      <c r="F9" s="9" t="s">
        <v>20</v>
      </c>
      <c r="G9" s="8" t="s">
        <v>73</v>
      </c>
      <c r="I9" s="9" t="s">
        <v>74</v>
      </c>
      <c r="J9" s="9" t="s">
        <v>75</v>
      </c>
      <c r="K9" s="9" t="s">
        <v>76</v>
      </c>
      <c r="L9" s="24">
        <v>46011</v>
      </c>
      <c r="M9" s="9" t="s">
        <v>77</v>
      </c>
      <c r="N9" s="9" t="s">
        <v>78</v>
      </c>
      <c r="O9" s="9" t="s">
        <v>79</v>
      </c>
      <c r="P9" s="37" t="s">
        <v>80</v>
      </c>
      <c r="S9" s="7" t="s">
        <v>81</v>
      </c>
      <c r="T9" s="7" t="s">
        <v>43</v>
      </c>
      <c r="U9" s="8">
        <v>45973.482638888891</v>
      </c>
      <c r="V9" s="40" t="s">
        <v>82</v>
      </c>
      <c r="W9" s="7" t="s">
        <v>83</v>
      </c>
      <c r="X9" s="11" t="s">
        <v>84</v>
      </c>
      <c r="Y9" s="40" t="s">
        <v>28</v>
      </c>
    </row>
    <row r="10" spans="1:38" x14ac:dyDescent="0.2">
      <c r="A10" s="37" t="s">
        <v>43</v>
      </c>
      <c r="B10" s="9" t="s">
        <v>85</v>
      </c>
      <c r="C10" s="9" t="s">
        <v>86</v>
      </c>
      <c r="D10" s="9" t="s">
        <v>87</v>
      </c>
      <c r="E10" s="21" t="s">
        <v>88</v>
      </c>
      <c r="F10" s="9" t="s">
        <v>20</v>
      </c>
      <c r="G10" s="8" t="s">
        <v>89</v>
      </c>
      <c r="I10" s="9" t="s">
        <v>90</v>
      </c>
      <c r="J10" s="9" t="s">
        <v>91</v>
      </c>
      <c r="K10" s="9" t="s">
        <v>92</v>
      </c>
      <c r="L10" s="24">
        <v>46037</v>
      </c>
      <c r="M10" s="9" t="s">
        <v>93</v>
      </c>
      <c r="N10" s="9" t="s">
        <v>94</v>
      </c>
      <c r="O10" s="9" t="s">
        <v>79</v>
      </c>
      <c r="P10" s="37" t="s">
        <v>95</v>
      </c>
      <c r="S10" s="7" t="s">
        <v>96</v>
      </c>
      <c r="T10" s="40" t="s">
        <v>37</v>
      </c>
      <c r="U10" s="8">
        <v>45974.486111111109</v>
      </c>
      <c r="V10" s="40" t="s">
        <v>97</v>
      </c>
      <c r="W10" s="7" t="s">
        <v>98</v>
      </c>
      <c r="X10" s="11" t="s">
        <v>99</v>
      </c>
      <c r="Y10" s="7" t="s">
        <v>39</v>
      </c>
    </row>
    <row r="11" spans="1:38" ht="16.5" customHeight="1" x14ac:dyDescent="0.2">
      <c r="A11" s="37" t="s">
        <v>100</v>
      </c>
      <c r="B11" s="35" t="s">
        <v>101</v>
      </c>
      <c r="C11" s="9" t="s">
        <v>102</v>
      </c>
      <c r="D11" s="9" t="s">
        <v>103</v>
      </c>
      <c r="E11" s="21" t="s">
        <v>104</v>
      </c>
      <c r="F11" s="9" t="s">
        <v>20</v>
      </c>
      <c r="G11" s="8" t="s">
        <v>105</v>
      </c>
      <c r="I11" s="9" t="s">
        <v>106</v>
      </c>
      <c r="J11" s="9" t="s">
        <v>107</v>
      </c>
      <c r="K11" s="9" t="s">
        <v>108</v>
      </c>
      <c r="L11" s="24">
        <v>46063</v>
      </c>
      <c r="M11" s="9" t="s">
        <v>109</v>
      </c>
      <c r="N11" s="9" t="s">
        <v>110</v>
      </c>
      <c r="O11" s="9" t="s">
        <v>79</v>
      </c>
      <c r="P11" s="37" t="s">
        <v>111</v>
      </c>
      <c r="S11" s="7" t="s">
        <v>112</v>
      </c>
      <c r="T11" s="7" t="s">
        <v>25</v>
      </c>
      <c r="U11" s="8">
        <v>45976.489583333336</v>
      </c>
      <c r="V11" s="7" t="s">
        <v>113</v>
      </c>
      <c r="W11" s="7" t="s">
        <v>83</v>
      </c>
      <c r="X11" s="11" t="s">
        <v>114</v>
      </c>
      <c r="Y11" s="40" t="s">
        <v>46</v>
      </c>
    </row>
    <row r="13" spans="1:38" ht="20.25" x14ac:dyDescent="0.2">
      <c r="I13" s="86" t="s">
        <v>115</v>
      </c>
      <c r="J13" s="86"/>
      <c r="K13" s="86"/>
      <c r="L13" s="86"/>
      <c r="M13" s="86"/>
      <c r="N13" s="86"/>
      <c r="O13" s="86"/>
      <c r="P13" s="86"/>
      <c r="Q13" s="25"/>
      <c r="S13" s="85" t="s">
        <v>116</v>
      </c>
      <c r="T13" s="85"/>
      <c r="U13" s="85"/>
      <c r="V13" s="85"/>
      <c r="W13" s="85"/>
      <c r="X13" s="66"/>
      <c r="Y13" s="66"/>
      <c r="Z13" s="66"/>
      <c r="AA13" s="66"/>
    </row>
    <row r="14" spans="1:38" ht="15.75" x14ac:dyDescent="0.2">
      <c r="I14" s="72" t="s">
        <v>117</v>
      </c>
      <c r="J14" s="72" t="s">
        <v>118</v>
      </c>
      <c r="K14" s="72" t="s">
        <v>119</v>
      </c>
      <c r="L14" s="72" t="s">
        <v>120</v>
      </c>
      <c r="M14" s="72" t="s">
        <v>8</v>
      </c>
      <c r="N14" s="82" t="s">
        <v>9</v>
      </c>
      <c r="O14" s="83"/>
      <c r="P14" s="84"/>
      <c r="S14" s="61" t="s">
        <v>121</v>
      </c>
      <c r="T14" s="72" t="s">
        <v>122</v>
      </c>
      <c r="U14" s="61" t="s">
        <v>123</v>
      </c>
      <c r="V14" s="61" t="s">
        <v>8</v>
      </c>
      <c r="W14" s="61" t="s">
        <v>9</v>
      </c>
      <c r="Y14" s="41"/>
      <c r="Z14" s="41"/>
      <c r="AA14" s="41"/>
    </row>
    <row r="15" spans="1:38" ht="15" customHeight="1" x14ac:dyDescent="0.2">
      <c r="I15" s="9" t="s">
        <v>124</v>
      </c>
      <c r="J15" s="9" t="s">
        <v>125</v>
      </c>
      <c r="K15" s="9" t="s">
        <v>126</v>
      </c>
      <c r="L15" s="9" t="s">
        <v>127</v>
      </c>
      <c r="M15" s="9" t="s">
        <v>20</v>
      </c>
      <c r="N15" s="93" t="s">
        <v>128</v>
      </c>
      <c r="O15" s="94"/>
      <c r="P15" s="95"/>
      <c r="S15" s="37" t="s">
        <v>129</v>
      </c>
      <c r="T15" s="9" t="s">
        <v>130</v>
      </c>
      <c r="U15" s="37" t="s">
        <v>131</v>
      </c>
      <c r="V15" s="37" t="s">
        <v>132</v>
      </c>
      <c r="W15" s="29">
        <v>45972.489583333336</v>
      </c>
      <c r="Y15" s="10"/>
    </row>
    <row r="16" spans="1:38" ht="15" customHeight="1" x14ac:dyDescent="0.2">
      <c r="I16" s="9" t="s">
        <v>133</v>
      </c>
      <c r="J16" s="9" t="s">
        <v>134</v>
      </c>
      <c r="K16" s="9" t="s">
        <v>135</v>
      </c>
      <c r="L16" s="9" t="s">
        <v>136</v>
      </c>
      <c r="M16" s="9" t="s">
        <v>20</v>
      </c>
      <c r="N16" s="96" t="s">
        <v>137</v>
      </c>
      <c r="O16" s="96"/>
      <c r="P16" s="96"/>
      <c r="S16" s="37" t="s">
        <v>138</v>
      </c>
      <c r="T16" s="9" t="s">
        <v>139</v>
      </c>
      <c r="U16" s="37" t="s">
        <v>140</v>
      </c>
      <c r="V16" s="37" t="s">
        <v>132</v>
      </c>
      <c r="W16" s="29">
        <v>45972.489583333336</v>
      </c>
      <c r="Y16" s="10"/>
    </row>
    <row r="17" spans="9:25" x14ac:dyDescent="0.2">
      <c r="S17" s="37" t="s">
        <v>141</v>
      </c>
      <c r="T17" s="9" t="s">
        <v>139</v>
      </c>
      <c r="U17" s="37" t="s">
        <v>142</v>
      </c>
      <c r="V17" s="37" t="s">
        <v>132</v>
      </c>
      <c r="W17" s="29">
        <v>45972.489583333336</v>
      </c>
      <c r="Y17" s="10"/>
    </row>
    <row r="18" spans="9:25" ht="20.25" x14ac:dyDescent="0.2">
      <c r="I18" s="86" t="s">
        <v>143</v>
      </c>
      <c r="J18" s="86"/>
      <c r="K18" s="86"/>
      <c r="L18" s="86"/>
      <c r="M18" s="86"/>
      <c r="N18" s="86"/>
      <c r="O18" s="86"/>
      <c r="P18" s="1"/>
      <c r="Q18" s="1"/>
      <c r="U18" s="1"/>
      <c r="V18" s="1"/>
    </row>
    <row r="19" spans="9:25" ht="15.75" x14ac:dyDescent="0.2">
      <c r="I19" s="72" t="s">
        <v>144</v>
      </c>
      <c r="J19" s="72" t="s">
        <v>145</v>
      </c>
      <c r="K19" s="72" t="s">
        <v>146</v>
      </c>
      <c r="L19" s="72" t="s">
        <v>147</v>
      </c>
      <c r="M19" s="72" t="s">
        <v>8</v>
      </c>
      <c r="N19" s="92" t="s">
        <v>9</v>
      </c>
      <c r="O19" s="92"/>
      <c r="Q19" s="5"/>
      <c r="U19" s="5"/>
    </row>
    <row r="20" spans="9:25" x14ac:dyDescent="0.2">
      <c r="I20" s="9" t="s">
        <v>148</v>
      </c>
      <c r="J20" s="9" t="s">
        <v>149</v>
      </c>
      <c r="K20" s="37" t="s">
        <v>150</v>
      </c>
      <c r="L20" s="24" t="s">
        <v>151</v>
      </c>
      <c r="M20" s="9" t="s">
        <v>20</v>
      </c>
      <c r="N20" s="91" t="s">
        <v>152</v>
      </c>
      <c r="O20" s="91"/>
    </row>
    <row r="21" spans="9:25" x14ac:dyDescent="0.2">
      <c r="I21" s="9" t="s">
        <v>153</v>
      </c>
      <c r="J21" s="9" t="s">
        <v>154</v>
      </c>
      <c r="K21" s="9" t="s">
        <v>155</v>
      </c>
      <c r="L21" s="24" t="s">
        <v>156</v>
      </c>
      <c r="M21" s="9" t="s">
        <v>20</v>
      </c>
      <c r="N21" s="91" t="s">
        <v>157</v>
      </c>
      <c r="O21" s="91"/>
    </row>
  </sheetData>
  <mergeCells count="15">
    <mergeCell ref="N20:O20"/>
    <mergeCell ref="N21:O21"/>
    <mergeCell ref="N19:O19"/>
    <mergeCell ref="I18:O18"/>
    <mergeCell ref="N15:P15"/>
    <mergeCell ref="N16:P16"/>
    <mergeCell ref="N14:P14"/>
    <mergeCell ref="S13:W13"/>
    <mergeCell ref="A1:G1"/>
    <mergeCell ref="A6:G6"/>
    <mergeCell ref="I7:P7"/>
    <mergeCell ref="I13:P13"/>
    <mergeCell ref="S1:W1"/>
    <mergeCell ref="S7:Y7"/>
    <mergeCell ref="I1:K1"/>
  </mergeCells>
  <hyperlinks>
    <hyperlink ref="D3" r:id="rId1" xr:uid="{B0465EF5-7934-4012-9BB6-DC2964CB5027}"/>
    <hyperlink ref="D4" r:id="rId2" xr:uid="{D9E8C8D7-83B3-4090-80D6-7930EAE1340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B8DE-46F2-4FAD-8D39-C827F089B8AC}">
  <dimension ref="A1:AI26"/>
  <sheetViews>
    <sheetView zoomScale="70" zoomScaleNormal="70" workbookViewId="0">
      <selection activeCell="D24" sqref="D24"/>
    </sheetView>
  </sheetViews>
  <sheetFormatPr defaultColWidth="19.5" defaultRowHeight="15" x14ac:dyDescent="0.2"/>
  <cols>
    <col min="1" max="1" width="12.75" style="42" customWidth="1"/>
    <col min="2" max="2" width="42.375" style="42" bestFit="1" customWidth="1"/>
    <col min="3" max="3" width="13.5" style="42" bestFit="1" customWidth="1"/>
    <col min="4" max="4" width="24.25" style="42" bestFit="1" customWidth="1"/>
    <col min="5" max="5" width="14.375" style="42" bestFit="1" customWidth="1"/>
    <col min="6" max="6" width="7.375" style="42" bestFit="1" customWidth="1"/>
    <col min="7" max="8" width="17.75" style="42" bestFit="1" customWidth="1"/>
    <col min="9" max="9" width="7.625" style="42" bestFit="1" customWidth="1"/>
    <col min="10" max="10" width="19.5" style="42"/>
    <col min="11" max="11" width="25" style="42" bestFit="1" customWidth="1"/>
    <col min="12" max="12" width="27.125" style="42" bestFit="1" customWidth="1"/>
    <col min="13" max="13" width="15.75" style="42" bestFit="1" customWidth="1"/>
    <col min="14" max="14" width="12.75" style="42" bestFit="1" customWidth="1"/>
    <col min="15" max="15" width="24.25" style="42" bestFit="1" customWidth="1"/>
    <col min="16" max="16" width="14.5" style="42" bestFit="1" customWidth="1"/>
    <col min="17" max="17" width="10" style="42" bestFit="1" customWidth="1"/>
    <col min="18" max="18" width="21.75" style="42" bestFit="1" customWidth="1"/>
    <col min="19" max="20" width="17.75" style="42" bestFit="1" customWidth="1"/>
    <col min="21" max="21" width="7.625" style="42" bestFit="1" customWidth="1"/>
    <col min="22" max="22" width="19.5" style="42"/>
    <col min="23" max="23" width="14.25" style="42" bestFit="1" customWidth="1"/>
    <col min="24" max="24" width="15.625" style="42" bestFit="1" customWidth="1"/>
    <col min="25" max="25" width="17.75" style="42" bestFit="1" customWidth="1"/>
    <col min="26" max="26" width="19" style="42" bestFit="1" customWidth="1"/>
    <col min="27" max="30" width="17.75" style="42" bestFit="1" customWidth="1"/>
    <col min="31" max="31" width="9.25" style="42" bestFit="1" customWidth="1"/>
    <col min="32" max="32" width="12.125" style="42" bestFit="1" customWidth="1"/>
    <col min="33" max="33" width="17.125" style="42" bestFit="1" customWidth="1"/>
    <col min="34" max="34" width="9.25" style="42" bestFit="1" customWidth="1"/>
    <col min="35" max="35" width="11.5" style="42" bestFit="1" customWidth="1"/>
    <col min="36" max="36" width="10.375" style="42" customWidth="1"/>
    <col min="37" max="16384" width="19.5" style="42"/>
  </cols>
  <sheetData>
    <row r="1" spans="1:35" ht="20.25" x14ac:dyDescent="0.2">
      <c r="A1" s="97" t="s">
        <v>0</v>
      </c>
      <c r="B1" s="97"/>
      <c r="C1" s="97"/>
      <c r="D1" s="97"/>
      <c r="E1" s="97"/>
      <c r="F1" s="97"/>
      <c r="G1" s="97"/>
      <c r="H1" s="98"/>
      <c r="I1" s="41"/>
      <c r="J1" s="41"/>
      <c r="K1" s="99" t="s">
        <v>1</v>
      </c>
      <c r="L1" s="100"/>
      <c r="M1" s="101"/>
      <c r="N1" s="41"/>
      <c r="O1" s="41"/>
      <c r="P1" s="41"/>
      <c r="Q1" s="41"/>
      <c r="R1" s="41"/>
      <c r="W1" s="85" t="s">
        <v>2</v>
      </c>
      <c r="X1" s="85"/>
      <c r="Y1" s="85"/>
      <c r="Z1" s="85"/>
      <c r="AA1" s="85"/>
      <c r="AB1" s="85"/>
      <c r="AC1" s="85"/>
      <c r="AD1" s="85"/>
      <c r="AE1" s="85"/>
      <c r="AF1" s="85"/>
    </row>
    <row r="2" spans="1:35" ht="15.75" x14ac:dyDescent="0.2">
      <c r="A2" s="61" t="s">
        <v>421</v>
      </c>
      <c r="B2" s="68" t="s">
        <v>4</v>
      </c>
      <c r="C2" s="72" t="s">
        <v>5</v>
      </c>
      <c r="D2" s="72" t="s">
        <v>6</v>
      </c>
      <c r="E2" s="72" t="s">
        <v>7</v>
      </c>
      <c r="F2" s="72" t="s">
        <v>8</v>
      </c>
      <c r="G2" s="44" t="s">
        <v>158</v>
      </c>
      <c r="H2" s="45" t="s">
        <v>159</v>
      </c>
      <c r="K2" s="43" t="s">
        <v>160</v>
      </c>
      <c r="L2" s="43" t="s">
        <v>11</v>
      </c>
      <c r="M2" s="43" t="s">
        <v>8</v>
      </c>
      <c r="P2" s="46"/>
      <c r="Q2" s="46"/>
      <c r="R2" s="46"/>
      <c r="W2" s="47" t="s">
        <v>161</v>
      </c>
      <c r="X2" s="47" t="s">
        <v>13</v>
      </c>
      <c r="Y2" s="47" t="s">
        <v>8</v>
      </c>
      <c r="Z2" s="47" t="s">
        <v>158</v>
      </c>
      <c r="AA2" s="48" t="s">
        <v>159</v>
      </c>
      <c r="AB2" s="36" t="s">
        <v>162</v>
      </c>
      <c r="AC2" s="36" t="s">
        <v>117</v>
      </c>
      <c r="AD2" s="47" t="s">
        <v>163</v>
      </c>
      <c r="AE2" s="36" t="s">
        <v>164</v>
      </c>
      <c r="AF2" s="36" t="s">
        <v>165</v>
      </c>
    </row>
    <row r="3" spans="1:35" x14ac:dyDescent="0.2">
      <c r="A3" s="37" t="s">
        <v>15</v>
      </c>
      <c r="B3" s="9" t="s">
        <v>16</v>
      </c>
      <c r="C3" s="9" t="s">
        <v>17</v>
      </c>
      <c r="D3" s="34" t="s">
        <v>18</v>
      </c>
      <c r="E3" s="9" t="s">
        <v>19</v>
      </c>
      <c r="F3" s="9" t="s">
        <v>20</v>
      </c>
      <c r="G3" s="39">
        <v>45910.4375</v>
      </c>
      <c r="H3" s="39">
        <v>45972.4375</v>
      </c>
      <c r="K3" s="37" t="s">
        <v>22</v>
      </c>
      <c r="L3" s="37" t="s">
        <v>23</v>
      </c>
      <c r="M3" s="37" t="s">
        <v>20</v>
      </c>
      <c r="P3" s="49"/>
      <c r="W3" s="40" t="s">
        <v>24</v>
      </c>
      <c r="X3" s="40" t="s">
        <v>25</v>
      </c>
      <c r="Y3" s="40" t="s">
        <v>26</v>
      </c>
      <c r="Z3" s="38">
        <v>45972.472222222219</v>
      </c>
      <c r="AA3" s="50">
        <v>45972.476041666669</v>
      </c>
      <c r="AB3" s="40"/>
      <c r="AC3" s="40" t="s">
        <v>166</v>
      </c>
      <c r="AD3" s="40"/>
      <c r="AE3" s="40">
        <v>1</v>
      </c>
      <c r="AF3" s="40">
        <v>1990</v>
      </c>
    </row>
    <row r="4" spans="1:35" x14ac:dyDescent="0.2">
      <c r="A4" s="37" t="s">
        <v>29</v>
      </c>
      <c r="B4" s="9" t="s">
        <v>30</v>
      </c>
      <c r="C4" s="9" t="s">
        <v>31</v>
      </c>
      <c r="D4" s="34" t="s">
        <v>32</v>
      </c>
      <c r="E4" s="9" t="s">
        <v>33</v>
      </c>
      <c r="F4" s="9" t="s">
        <v>20</v>
      </c>
      <c r="G4" s="38">
        <v>45910.4375</v>
      </c>
      <c r="H4" s="51">
        <v>45976.418749999997</v>
      </c>
      <c r="K4" s="37" t="s">
        <v>34</v>
      </c>
      <c r="L4" s="37" t="s">
        <v>35</v>
      </c>
      <c r="M4" s="37" t="s">
        <v>20</v>
      </c>
      <c r="P4" s="49"/>
      <c r="W4" s="40" t="s">
        <v>36</v>
      </c>
      <c r="X4" s="40" t="s">
        <v>37</v>
      </c>
      <c r="Y4" s="40" t="s">
        <v>26</v>
      </c>
      <c r="Z4" s="38">
        <v>45972.472916666666</v>
      </c>
      <c r="AA4" s="50">
        <v>45972.480555555558</v>
      </c>
      <c r="AB4" s="40"/>
      <c r="AC4" s="40" t="s">
        <v>124</v>
      </c>
      <c r="AD4" s="40"/>
      <c r="AE4" s="40">
        <v>1</v>
      </c>
      <c r="AF4" s="40">
        <v>890</v>
      </c>
    </row>
    <row r="5" spans="1:35" x14ac:dyDescent="0.2">
      <c r="K5" s="37" t="s">
        <v>40</v>
      </c>
      <c r="L5" s="37" t="s">
        <v>41</v>
      </c>
      <c r="M5" s="37" t="s">
        <v>20</v>
      </c>
      <c r="P5" s="49"/>
      <c r="W5" s="40" t="s">
        <v>36</v>
      </c>
      <c r="X5" s="40" t="s">
        <v>37</v>
      </c>
      <c r="Y5" s="40" t="s">
        <v>26</v>
      </c>
      <c r="Z5" s="38">
        <v>45972.472916666666</v>
      </c>
      <c r="AA5" s="50">
        <v>45972.480555555558</v>
      </c>
      <c r="AB5" s="40"/>
      <c r="AC5" s="40"/>
      <c r="AD5" s="40" t="s">
        <v>167</v>
      </c>
      <c r="AE5" s="40">
        <v>1</v>
      </c>
      <c r="AF5" s="40">
        <v>4500</v>
      </c>
    </row>
    <row r="6" spans="1:35" ht="20.25" x14ac:dyDescent="0.2">
      <c r="A6" s="85" t="s">
        <v>47</v>
      </c>
      <c r="B6" s="85"/>
      <c r="C6" s="85"/>
      <c r="D6" s="85"/>
      <c r="E6" s="85"/>
      <c r="F6" s="85"/>
      <c r="G6" s="85"/>
      <c r="H6" s="85"/>
      <c r="I6" s="85"/>
      <c r="J6" s="41"/>
      <c r="W6" s="40" t="s">
        <v>42</v>
      </c>
      <c r="X6" s="40" t="s">
        <v>43</v>
      </c>
      <c r="Y6" s="40" t="s">
        <v>44</v>
      </c>
      <c r="Z6" s="38">
        <v>45972.473611111112</v>
      </c>
      <c r="AA6" s="50">
        <v>45972.489583333336</v>
      </c>
      <c r="AB6" s="40"/>
      <c r="AC6" s="40"/>
      <c r="AD6" s="40" t="s">
        <v>168</v>
      </c>
      <c r="AE6" s="40">
        <v>2</v>
      </c>
      <c r="AF6" s="40">
        <v>2500</v>
      </c>
    </row>
    <row r="7" spans="1:35" ht="20.25" x14ac:dyDescent="0.2">
      <c r="A7" s="67" t="s">
        <v>424</v>
      </c>
      <c r="B7" s="43" t="s">
        <v>48</v>
      </c>
      <c r="C7" s="4" t="s">
        <v>49</v>
      </c>
      <c r="D7" s="4" t="s">
        <v>50</v>
      </c>
      <c r="E7" s="4" t="s">
        <v>7</v>
      </c>
      <c r="F7" s="4" t="s">
        <v>8</v>
      </c>
      <c r="G7" s="47" t="s">
        <v>158</v>
      </c>
      <c r="H7" s="52" t="s">
        <v>159</v>
      </c>
      <c r="I7" s="36" t="s">
        <v>162</v>
      </c>
      <c r="K7" s="103" t="s">
        <v>51</v>
      </c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41"/>
      <c r="W7" s="40" t="s">
        <v>42</v>
      </c>
      <c r="X7" s="40" t="s">
        <v>43</v>
      </c>
      <c r="Y7" s="40" t="s">
        <v>44</v>
      </c>
      <c r="Z7" s="38">
        <v>45972.473611111112</v>
      </c>
      <c r="AA7" s="50">
        <v>45972.489583333336</v>
      </c>
      <c r="AB7" s="40"/>
      <c r="AC7" s="40" t="s">
        <v>124</v>
      </c>
      <c r="AD7" s="40"/>
      <c r="AE7" s="40">
        <v>1</v>
      </c>
      <c r="AF7" s="40">
        <v>890</v>
      </c>
    </row>
    <row r="8" spans="1:35" ht="15.75" x14ac:dyDescent="0.2">
      <c r="A8" s="62" t="s">
        <v>25</v>
      </c>
      <c r="B8" s="63" t="s">
        <v>53</v>
      </c>
      <c r="C8" s="63" t="s">
        <v>54</v>
      </c>
      <c r="D8" s="63" t="s">
        <v>55</v>
      </c>
      <c r="E8" s="64" t="s">
        <v>56</v>
      </c>
      <c r="F8" s="63" t="s">
        <v>20</v>
      </c>
      <c r="G8" s="39">
        <v>45972.479166666664</v>
      </c>
      <c r="H8" s="53"/>
      <c r="I8" s="40"/>
      <c r="K8" s="47" t="s">
        <v>169</v>
      </c>
      <c r="L8" s="47" t="s">
        <v>59</v>
      </c>
      <c r="M8" s="47" t="s">
        <v>60</v>
      </c>
      <c r="N8" s="47" t="s">
        <v>61</v>
      </c>
      <c r="O8" s="47" t="s">
        <v>62</v>
      </c>
      <c r="P8" s="47" t="s">
        <v>63</v>
      </c>
      <c r="Q8" s="47" t="s">
        <v>8</v>
      </c>
      <c r="R8" s="47" t="s">
        <v>10</v>
      </c>
      <c r="S8" s="36" t="s">
        <v>170</v>
      </c>
      <c r="T8" s="36" t="s">
        <v>171</v>
      </c>
      <c r="U8" s="36" t="s">
        <v>172</v>
      </c>
    </row>
    <row r="9" spans="1:35" ht="20.25" x14ac:dyDescent="0.2">
      <c r="A9" s="37" t="s">
        <v>37</v>
      </c>
      <c r="B9" s="9" t="s">
        <v>69</v>
      </c>
      <c r="C9" s="9" t="s">
        <v>70</v>
      </c>
      <c r="D9" s="9" t="s">
        <v>71</v>
      </c>
      <c r="E9" s="21" t="s">
        <v>72</v>
      </c>
      <c r="F9" s="9" t="s">
        <v>20</v>
      </c>
      <c r="G9" s="39">
        <v>45972.527777777781</v>
      </c>
      <c r="H9" s="39"/>
      <c r="I9" s="40"/>
      <c r="K9" s="40" t="s">
        <v>74</v>
      </c>
      <c r="L9" s="40" t="s">
        <v>75</v>
      </c>
      <c r="M9" s="40" t="s">
        <v>76</v>
      </c>
      <c r="N9" s="54">
        <v>46011</v>
      </c>
      <c r="O9" s="40" t="s">
        <v>77</v>
      </c>
      <c r="P9" s="40" t="s">
        <v>78</v>
      </c>
      <c r="Q9" s="40" t="s">
        <v>79</v>
      </c>
      <c r="R9" s="40" t="s">
        <v>22</v>
      </c>
      <c r="S9" s="40" t="s">
        <v>173</v>
      </c>
      <c r="T9" s="55">
        <v>4500</v>
      </c>
      <c r="U9" s="40">
        <v>100</v>
      </c>
      <c r="W9" s="103" t="s">
        <v>52</v>
      </c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</row>
    <row r="10" spans="1:35" ht="15.75" x14ac:dyDescent="0.2">
      <c r="A10" s="37" t="s">
        <v>43</v>
      </c>
      <c r="B10" s="9" t="s">
        <v>85</v>
      </c>
      <c r="C10" s="9" t="s">
        <v>86</v>
      </c>
      <c r="D10" s="9" t="s">
        <v>87</v>
      </c>
      <c r="E10" s="21" t="s">
        <v>88</v>
      </c>
      <c r="F10" s="9" t="s">
        <v>20</v>
      </c>
      <c r="G10" s="39">
        <v>45972.53125</v>
      </c>
      <c r="H10" s="39"/>
      <c r="I10" s="40"/>
      <c r="K10" s="40" t="s">
        <v>74</v>
      </c>
      <c r="L10" s="40" t="s">
        <v>75</v>
      </c>
      <c r="M10" s="40" t="s">
        <v>76</v>
      </c>
      <c r="N10" s="54">
        <v>46011</v>
      </c>
      <c r="O10" s="40" t="s">
        <v>77</v>
      </c>
      <c r="P10" s="40" t="s">
        <v>78</v>
      </c>
      <c r="Q10" s="40" t="s">
        <v>79</v>
      </c>
      <c r="R10" s="40" t="s">
        <v>22</v>
      </c>
      <c r="S10" s="40" t="s">
        <v>174</v>
      </c>
      <c r="T10" s="40">
        <v>2500</v>
      </c>
      <c r="U10" s="40">
        <v>300</v>
      </c>
      <c r="W10" s="47" t="s">
        <v>175</v>
      </c>
      <c r="X10" s="47" t="s">
        <v>13</v>
      </c>
      <c r="Y10" s="47" t="s">
        <v>66</v>
      </c>
      <c r="Z10" s="47" t="s">
        <v>176</v>
      </c>
      <c r="AA10" s="47" t="s">
        <v>171</v>
      </c>
      <c r="AB10" s="47" t="s">
        <v>8</v>
      </c>
      <c r="AC10" s="47" t="s">
        <v>158</v>
      </c>
      <c r="AD10" s="47" t="s">
        <v>159</v>
      </c>
      <c r="AE10" s="36" t="s">
        <v>162</v>
      </c>
      <c r="AF10" s="36" t="s">
        <v>117</v>
      </c>
      <c r="AG10" s="47" t="s">
        <v>163</v>
      </c>
      <c r="AH10" s="36" t="s">
        <v>164</v>
      </c>
      <c r="AI10" s="36" t="s">
        <v>165</v>
      </c>
    </row>
    <row r="11" spans="1:35" x14ac:dyDescent="0.2">
      <c r="A11" s="37" t="s">
        <v>100</v>
      </c>
      <c r="B11" s="35" t="s">
        <v>101</v>
      </c>
      <c r="C11" s="9" t="s">
        <v>102</v>
      </c>
      <c r="D11" s="9" t="s">
        <v>103</v>
      </c>
      <c r="E11" s="21" t="s">
        <v>104</v>
      </c>
      <c r="F11" s="9" t="s">
        <v>20</v>
      </c>
      <c r="G11" s="39">
        <v>45972.611111111109</v>
      </c>
      <c r="H11" s="39"/>
      <c r="I11" s="40"/>
      <c r="K11" s="40" t="s">
        <v>90</v>
      </c>
      <c r="L11" s="40" t="s">
        <v>91</v>
      </c>
      <c r="M11" s="40" t="s">
        <v>92</v>
      </c>
      <c r="N11" s="54">
        <v>46037</v>
      </c>
      <c r="O11" s="40" t="s">
        <v>93</v>
      </c>
      <c r="P11" s="40" t="s">
        <v>94</v>
      </c>
      <c r="Q11" s="40" t="s">
        <v>79</v>
      </c>
      <c r="R11" s="40" t="s">
        <v>34</v>
      </c>
      <c r="S11" s="40" t="s">
        <v>177</v>
      </c>
      <c r="T11" s="40">
        <v>3500</v>
      </c>
      <c r="U11" s="40">
        <v>80</v>
      </c>
      <c r="W11" s="40" t="s">
        <v>81</v>
      </c>
      <c r="X11" s="40" t="s">
        <v>25</v>
      </c>
      <c r="Y11" s="39">
        <v>45976.489583333336</v>
      </c>
      <c r="Z11" s="40" t="s">
        <v>178</v>
      </c>
      <c r="AA11" s="40">
        <v>890</v>
      </c>
      <c r="AB11" s="40" t="s">
        <v>83</v>
      </c>
      <c r="AC11" s="38">
        <v>45972.482638888891</v>
      </c>
      <c r="AD11" s="51">
        <v>45972.493055555555</v>
      </c>
      <c r="AE11" s="40"/>
      <c r="AF11" s="40" t="s">
        <v>124</v>
      </c>
      <c r="AG11" s="40"/>
      <c r="AH11" s="40">
        <v>1</v>
      </c>
      <c r="AI11" s="40">
        <v>890</v>
      </c>
    </row>
    <row r="12" spans="1:35" x14ac:dyDescent="0.2">
      <c r="K12" s="40" t="s">
        <v>106</v>
      </c>
      <c r="L12" s="40" t="s">
        <v>107</v>
      </c>
      <c r="M12" s="40" t="s">
        <v>108</v>
      </c>
      <c r="N12" s="54">
        <v>46063</v>
      </c>
      <c r="O12" s="40" t="s">
        <v>109</v>
      </c>
      <c r="P12" s="40" t="s">
        <v>110</v>
      </c>
      <c r="Q12" s="40" t="s">
        <v>79</v>
      </c>
      <c r="R12" s="40" t="s">
        <v>40</v>
      </c>
      <c r="S12" s="40" t="s">
        <v>173</v>
      </c>
      <c r="T12" s="40">
        <v>8500</v>
      </c>
      <c r="U12" s="40">
        <v>200</v>
      </c>
      <c r="W12" s="40" t="s">
        <v>96</v>
      </c>
      <c r="X12" s="40" t="s">
        <v>37</v>
      </c>
      <c r="Y12" s="39">
        <v>45974.486111111109</v>
      </c>
      <c r="Z12" s="40" t="s">
        <v>179</v>
      </c>
      <c r="AA12" s="40">
        <v>9500</v>
      </c>
      <c r="AB12" s="40" t="s">
        <v>98</v>
      </c>
      <c r="AC12" s="38">
        <v>45972.486111111109</v>
      </c>
      <c r="AD12" s="51">
        <v>45972.489583333336</v>
      </c>
      <c r="AE12" s="40"/>
      <c r="AF12" s="40"/>
      <c r="AG12" s="40" t="s">
        <v>167</v>
      </c>
      <c r="AH12" s="40">
        <v>1</v>
      </c>
      <c r="AI12" s="40">
        <v>4500</v>
      </c>
    </row>
    <row r="13" spans="1:35" x14ac:dyDescent="0.2">
      <c r="K13" s="40" t="s">
        <v>106</v>
      </c>
      <c r="L13" s="40" t="s">
        <v>107</v>
      </c>
      <c r="M13" s="40" t="s">
        <v>108</v>
      </c>
      <c r="N13" s="54">
        <v>46063</v>
      </c>
      <c r="O13" s="40" t="s">
        <v>109</v>
      </c>
      <c r="P13" s="40" t="s">
        <v>110</v>
      </c>
      <c r="Q13" s="40" t="s">
        <v>79</v>
      </c>
      <c r="R13" s="40" t="s">
        <v>40</v>
      </c>
      <c r="S13" s="40" t="s">
        <v>174</v>
      </c>
      <c r="T13" s="40">
        <v>4500</v>
      </c>
      <c r="U13" s="40">
        <v>500</v>
      </c>
      <c r="W13" s="40" t="s">
        <v>96</v>
      </c>
      <c r="X13" s="40" t="s">
        <v>37</v>
      </c>
      <c r="Y13" s="39">
        <v>45974.486111111109</v>
      </c>
      <c r="Z13" s="40" t="s">
        <v>179</v>
      </c>
      <c r="AA13" s="40">
        <v>9500</v>
      </c>
      <c r="AB13" s="40" t="s">
        <v>98</v>
      </c>
      <c r="AC13" s="38">
        <v>45972.486111111109</v>
      </c>
      <c r="AD13" s="51">
        <v>45972.489583333336</v>
      </c>
      <c r="AE13" s="40"/>
      <c r="AF13" s="40"/>
      <c r="AG13" s="40" t="s">
        <v>168</v>
      </c>
      <c r="AH13" s="40">
        <v>2</v>
      </c>
      <c r="AI13" s="40">
        <v>2500</v>
      </c>
    </row>
    <row r="14" spans="1:35" x14ac:dyDescent="0.2">
      <c r="W14" s="40" t="s">
        <v>112</v>
      </c>
      <c r="X14" s="40" t="s">
        <v>43</v>
      </c>
      <c r="Y14" s="39">
        <v>45973.482638888891</v>
      </c>
      <c r="Z14" s="40" t="s">
        <v>178</v>
      </c>
      <c r="AA14" s="40">
        <v>2880</v>
      </c>
      <c r="AB14" s="40" t="s">
        <v>83</v>
      </c>
      <c r="AC14" s="38">
        <v>45972.489583333336</v>
      </c>
      <c r="AD14" s="51">
        <v>45972.510416666664</v>
      </c>
      <c r="AE14" s="40"/>
      <c r="AF14" s="40" t="s">
        <v>166</v>
      </c>
      <c r="AG14" s="40"/>
      <c r="AH14" s="40">
        <v>1</v>
      </c>
      <c r="AI14" s="40">
        <v>1990</v>
      </c>
    </row>
    <row r="15" spans="1:35" x14ac:dyDescent="0.2">
      <c r="W15" s="40" t="s">
        <v>112</v>
      </c>
      <c r="X15" s="40" t="s">
        <v>43</v>
      </c>
      <c r="Y15" s="39">
        <v>45973.482638888891</v>
      </c>
      <c r="Z15" s="40" t="s">
        <v>178</v>
      </c>
      <c r="AA15" s="40">
        <v>2880</v>
      </c>
      <c r="AB15" s="40" t="s">
        <v>83</v>
      </c>
      <c r="AC15" s="38">
        <v>45972.489583333336</v>
      </c>
      <c r="AD15" s="51">
        <v>45972.510416666664</v>
      </c>
      <c r="AE15" s="40"/>
      <c r="AF15" s="40" t="s">
        <v>124</v>
      </c>
      <c r="AG15" s="40"/>
      <c r="AH15" s="40">
        <v>1</v>
      </c>
      <c r="AI15" s="40">
        <v>890</v>
      </c>
    </row>
    <row r="16" spans="1:35" ht="20.25" x14ac:dyDescent="0.2">
      <c r="K16" s="103" t="s">
        <v>115</v>
      </c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AC16" s="46"/>
      <c r="AD16" s="46"/>
      <c r="AE16" s="46"/>
    </row>
    <row r="17" spans="11:31" ht="20.25" x14ac:dyDescent="0.2">
      <c r="K17" s="44" t="s">
        <v>180</v>
      </c>
      <c r="L17" s="44" t="s">
        <v>118</v>
      </c>
      <c r="M17" s="44" t="s">
        <v>181</v>
      </c>
      <c r="N17" s="44" t="s">
        <v>171</v>
      </c>
      <c r="O17" s="44" t="s">
        <v>172</v>
      </c>
      <c r="P17" s="44" t="s">
        <v>120</v>
      </c>
      <c r="Q17" s="44" t="s">
        <v>8</v>
      </c>
      <c r="R17" s="44" t="s">
        <v>182</v>
      </c>
      <c r="S17" s="44" t="s">
        <v>158</v>
      </c>
      <c r="T17" s="56" t="s">
        <v>159</v>
      </c>
      <c r="U17" s="56" t="s">
        <v>162</v>
      </c>
      <c r="W17" s="85" t="s">
        <v>116</v>
      </c>
      <c r="X17" s="85"/>
      <c r="Y17" s="85"/>
      <c r="Z17" s="85"/>
      <c r="AA17" s="85"/>
      <c r="AB17" s="85"/>
      <c r="AC17" s="85"/>
      <c r="AD17" s="85"/>
      <c r="AE17" s="85"/>
    </row>
    <row r="18" spans="11:31" ht="15.75" x14ac:dyDescent="0.2">
      <c r="K18" s="40" t="s">
        <v>124</v>
      </c>
      <c r="L18" s="40" t="s">
        <v>183</v>
      </c>
      <c r="M18" s="40" t="s">
        <v>184</v>
      </c>
      <c r="N18" s="40">
        <v>890</v>
      </c>
      <c r="O18" s="40">
        <v>200</v>
      </c>
      <c r="P18" s="40" t="s">
        <v>185</v>
      </c>
      <c r="Q18" s="40" t="s">
        <v>20</v>
      </c>
      <c r="R18" s="40" t="s">
        <v>15</v>
      </c>
      <c r="S18" s="39">
        <v>45972.4375</v>
      </c>
      <c r="T18" s="39">
        <v>45972.440972222219</v>
      </c>
      <c r="U18" s="40"/>
      <c r="W18" s="61" t="s">
        <v>121</v>
      </c>
      <c r="X18" s="72" t="s">
        <v>122</v>
      </c>
      <c r="Y18" s="61" t="s">
        <v>186</v>
      </c>
      <c r="Z18" s="61" t="s">
        <v>187</v>
      </c>
      <c r="AA18" s="61" t="s">
        <v>8</v>
      </c>
      <c r="AB18" s="61" t="s">
        <v>188</v>
      </c>
      <c r="AC18" s="61" t="s">
        <v>189</v>
      </c>
      <c r="AD18" s="61" t="s">
        <v>162</v>
      </c>
      <c r="AE18" s="61" t="s">
        <v>162</v>
      </c>
    </row>
    <row r="19" spans="11:31" x14ac:dyDescent="0.2">
      <c r="K19" s="40" t="s">
        <v>133</v>
      </c>
      <c r="L19" s="55" t="s">
        <v>190</v>
      </c>
      <c r="M19" s="55" t="s">
        <v>191</v>
      </c>
      <c r="N19" s="40">
        <v>1590</v>
      </c>
      <c r="O19" s="40">
        <v>120</v>
      </c>
      <c r="P19" s="40" t="s">
        <v>192</v>
      </c>
      <c r="Q19" s="40" t="s">
        <v>20</v>
      </c>
      <c r="R19" s="40" t="s">
        <v>15</v>
      </c>
      <c r="S19" s="39">
        <v>45972.4375</v>
      </c>
      <c r="T19" s="51">
        <v>45972.440972222219</v>
      </c>
      <c r="U19" s="40"/>
      <c r="W19" s="37" t="s">
        <v>129</v>
      </c>
      <c r="X19" s="9" t="s">
        <v>130</v>
      </c>
      <c r="Y19" s="9">
        <v>99</v>
      </c>
      <c r="Z19" s="37" t="s">
        <v>193</v>
      </c>
      <c r="AA19" s="37" t="s">
        <v>132</v>
      </c>
      <c r="AB19" s="29">
        <v>45972.489583333336</v>
      </c>
      <c r="AC19" s="29"/>
      <c r="AD19" s="9"/>
      <c r="AE19" s="9"/>
    </row>
    <row r="20" spans="11:31" x14ac:dyDescent="0.2">
      <c r="K20" s="40" t="s">
        <v>166</v>
      </c>
      <c r="L20" s="40" t="s">
        <v>194</v>
      </c>
      <c r="M20" s="40" t="s">
        <v>195</v>
      </c>
      <c r="N20" s="40">
        <v>1990</v>
      </c>
      <c r="O20" s="57">
        <v>80</v>
      </c>
      <c r="P20" s="40" t="s">
        <v>196</v>
      </c>
      <c r="Q20" s="40" t="s">
        <v>20</v>
      </c>
      <c r="R20" s="40" t="s">
        <v>29</v>
      </c>
      <c r="S20" s="39">
        <v>45972.444444444445</v>
      </c>
      <c r="T20" s="39">
        <v>45972.447916666664</v>
      </c>
      <c r="U20" s="40"/>
      <c r="W20" s="37" t="s">
        <v>138</v>
      </c>
      <c r="X20" s="9" t="s">
        <v>139</v>
      </c>
      <c r="Y20" s="9">
        <v>1</v>
      </c>
      <c r="Z20" s="37" t="s">
        <v>197</v>
      </c>
      <c r="AA20" s="37" t="s">
        <v>132</v>
      </c>
      <c r="AB20" s="29">
        <v>45972.489583333336</v>
      </c>
      <c r="AC20" s="29"/>
      <c r="AD20" s="9"/>
      <c r="AE20" s="9"/>
    </row>
    <row r="21" spans="11:31" x14ac:dyDescent="0.2">
      <c r="K21" s="40" t="s">
        <v>198</v>
      </c>
      <c r="L21" s="40" t="s">
        <v>199</v>
      </c>
      <c r="M21" s="40" t="s">
        <v>200</v>
      </c>
      <c r="N21" s="40">
        <v>1290</v>
      </c>
      <c r="O21" s="57">
        <v>150</v>
      </c>
      <c r="P21" s="40" t="s">
        <v>201</v>
      </c>
      <c r="Q21" s="40" t="s">
        <v>20</v>
      </c>
      <c r="R21" s="40" t="s">
        <v>29</v>
      </c>
      <c r="S21" s="39">
        <v>45972.444444444445</v>
      </c>
      <c r="T21" s="39">
        <v>45972.447916666664</v>
      </c>
      <c r="U21" s="40"/>
      <c r="W21" s="37" t="s">
        <v>141</v>
      </c>
      <c r="X21" s="9" t="s">
        <v>139</v>
      </c>
      <c r="Y21" s="9">
        <v>2</v>
      </c>
      <c r="Z21" s="37" t="s">
        <v>202</v>
      </c>
      <c r="AA21" s="37" t="s">
        <v>132</v>
      </c>
      <c r="AB21" s="29">
        <v>45972.489583333336</v>
      </c>
      <c r="AC21" s="29"/>
      <c r="AD21" s="9"/>
      <c r="AE21" s="37"/>
    </row>
    <row r="23" spans="11:31" ht="20.25" customHeight="1" x14ac:dyDescent="0.2">
      <c r="K23" s="102" t="s">
        <v>143</v>
      </c>
      <c r="L23" s="102"/>
      <c r="M23" s="102"/>
      <c r="N23" s="102"/>
      <c r="O23" s="102"/>
      <c r="P23" s="102"/>
      <c r="Q23" s="102"/>
      <c r="R23" s="102"/>
      <c r="S23" s="102"/>
      <c r="T23" s="102"/>
      <c r="U23" s="102"/>
    </row>
    <row r="24" spans="11:31" ht="15.75" x14ac:dyDescent="0.2">
      <c r="K24" s="58" t="s">
        <v>203</v>
      </c>
      <c r="L24" s="58" t="s">
        <v>145</v>
      </c>
      <c r="M24" s="58" t="s">
        <v>204</v>
      </c>
      <c r="N24" s="58" t="s">
        <v>205</v>
      </c>
      <c r="O24" s="58" t="s">
        <v>206</v>
      </c>
      <c r="P24" s="58" t="s">
        <v>207</v>
      </c>
      <c r="Q24" s="58" t="s">
        <v>8</v>
      </c>
      <c r="R24" s="58" t="s">
        <v>182</v>
      </c>
      <c r="S24" s="58" t="s">
        <v>158</v>
      </c>
      <c r="T24" s="56" t="s">
        <v>159</v>
      </c>
      <c r="U24" s="56" t="s">
        <v>162</v>
      </c>
    </row>
    <row r="25" spans="11:31" x14ac:dyDescent="0.2">
      <c r="K25" s="59" t="s">
        <v>148</v>
      </c>
      <c r="L25" s="59" t="s">
        <v>149</v>
      </c>
      <c r="M25" s="59" t="s">
        <v>208</v>
      </c>
      <c r="N25" s="59">
        <v>20</v>
      </c>
      <c r="O25" s="60" t="s">
        <v>209</v>
      </c>
      <c r="P25" s="60" t="s">
        <v>210</v>
      </c>
      <c r="Q25" s="59" t="s">
        <v>20</v>
      </c>
      <c r="R25" s="59" t="s">
        <v>15</v>
      </c>
      <c r="S25" s="38">
        <v>45972.458333333336</v>
      </c>
      <c r="T25" s="40"/>
      <c r="U25" s="40"/>
    </row>
    <row r="26" spans="11:31" x14ac:dyDescent="0.2">
      <c r="K26" s="59" t="s">
        <v>153</v>
      </c>
      <c r="L26" s="59" t="s">
        <v>154</v>
      </c>
      <c r="M26" s="59" t="s">
        <v>211</v>
      </c>
      <c r="N26" s="59">
        <v>300</v>
      </c>
      <c r="O26" s="60" t="s">
        <v>212</v>
      </c>
      <c r="P26" s="60" t="s">
        <v>213</v>
      </c>
      <c r="Q26" s="59" t="s">
        <v>20</v>
      </c>
      <c r="R26" s="59" t="s">
        <v>29</v>
      </c>
      <c r="S26" s="38">
        <v>45976.418749999997</v>
      </c>
      <c r="T26" s="40"/>
      <c r="U26" s="40"/>
    </row>
  </sheetData>
  <mergeCells count="9">
    <mergeCell ref="A1:H1"/>
    <mergeCell ref="K1:M1"/>
    <mergeCell ref="W1:AF1"/>
    <mergeCell ref="W17:AE17"/>
    <mergeCell ref="K23:U23"/>
    <mergeCell ref="K16:U16"/>
    <mergeCell ref="K7:U7"/>
    <mergeCell ref="W9:AI9"/>
    <mergeCell ref="A6:I6"/>
  </mergeCells>
  <hyperlinks>
    <hyperlink ref="D3" r:id="rId1" xr:uid="{189904B9-8DEA-4DF0-B025-087C92955B2C}"/>
    <hyperlink ref="D4" r:id="rId2" xr:uid="{730FC8F3-35FB-4BF8-871C-17400F72C2C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74C1-6D94-475A-B5B7-3FF1B354D18F}">
  <dimension ref="A1:AK36"/>
  <sheetViews>
    <sheetView zoomScale="70" zoomScaleNormal="70" workbookViewId="0">
      <selection activeCell="D45" sqref="D45"/>
    </sheetView>
  </sheetViews>
  <sheetFormatPr defaultRowHeight="14.25" x14ac:dyDescent="0.2"/>
  <cols>
    <col min="1" max="1" width="13" style="32" bestFit="1" customWidth="1"/>
    <col min="2" max="2" width="40.25" style="32" bestFit="1" customWidth="1"/>
    <col min="3" max="3" width="12.75" style="32" bestFit="1" customWidth="1"/>
    <col min="4" max="4" width="24" style="32" bestFit="1" customWidth="1"/>
    <col min="5" max="5" width="13.75" style="32" bestFit="1" customWidth="1"/>
    <col min="6" max="6" width="7.5" style="32" bestFit="1" customWidth="1"/>
    <col min="7" max="8" width="16.75" style="32" bestFit="1" customWidth="1"/>
    <col min="9" max="9" width="7.5" style="32" bestFit="1" customWidth="1"/>
    <col min="10" max="10" width="9" style="32"/>
    <col min="11" max="11" width="23.875" style="32" bestFit="1" customWidth="1"/>
    <col min="12" max="12" width="26.625" style="32" bestFit="1" customWidth="1"/>
    <col min="13" max="13" width="18.75" style="32" bestFit="1" customWidth="1"/>
    <col min="14" max="14" width="16.5" style="32" bestFit="1" customWidth="1"/>
    <col min="15" max="15" width="22.25" style="32" bestFit="1" customWidth="1"/>
    <col min="16" max="17" width="16.75" style="32" bestFit="1" customWidth="1"/>
    <col min="18" max="18" width="21.25" style="32" bestFit="1" customWidth="1"/>
    <col min="19" max="20" width="17.375" style="32" bestFit="1" customWidth="1"/>
    <col min="21" max="21" width="9.25" style="32" bestFit="1" customWidth="1"/>
    <col min="22" max="22" width="8.75" style="32" bestFit="1" customWidth="1"/>
    <col min="23" max="23" width="8.125" style="32" customWidth="1"/>
    <col min="24" max="24" width="9" style="32" customWidth="1"/>
    <col min="25" max="25" width="19.625" style="32" bestFit="1" customWidth="1"/>
    <col min="26" max="26" width="15.25" style="32" bestFit="1" customWidth="1"/>
    <col min="27" max="27" width="16.75" style="32" bestFit="1" customWidth="1"/>
    <col min="28" max="28" width="20.875" style="32" bestFit="1" customWidth="1"/>
    <col min="29" max="29" width="23.5" style="32" bestFit="1" customWidth="1"/>
    <col min="30" max="30" width="18.875" style="32" bestFit="1" customWidth="1"/>
    <col min="31" max="32" width="16.75" style="32" bestFit="1" customWidth="1"/>
    <col min="33" max="33" width="15.25" style="32" bestFit="1" customWidth="1"/>
    <col min="34" max="34" width="6.375" style="32" bestFit="1" customWidth="1"/>
    <col min="35" max="36" width="16.75" style="32" bestFit="1" customWidth="1"/>
    <col min="37" max="37" width="8.75" style="32" bestFit="1" customWidth="1"/>
    <col min="38" max="16384" width="9" style="32"/>
  </cols>
  <sheetData>
    <row r="1" spans="1:37" ht="20.25" x14ac:dyDescent="0.2">
      <c r="A1" s="97" t="s">
        <v>0</v>
      </c>
      <c r="B1" s="97"/>
      <c r="C1" s="97"/>
      <c r="D1" s="97"/>
      <c r="E1" s="97"/>
      <c r="F1" s="97"/>
      <c r="G1" s="97"/>
      <c r="H1" s="98"/>
      <c r="I1" s="41"/>
      <c r="J1" s="22"/>
      <c r="K1" s="90" t="s">
        <v>1</v>
      </c>
      <c r="L1" s="90"/>
      <c r="M1" s="90"/>
      <c r="N1" s="22"/>
      <c r="O1" s="22"/>
      <c r="P1" s="22"/>
      <c r="Q1" s="22"/>
      <c r="R1" s="2"/>
      <c r="S1" s="2"/>
      <c r="T1" s="2"/>
      <c r="U1" s="2"/>
      <c r="V1" s="2"/>
      <c r="W1" s="2"/>
      <c r="X1" s="2"/>
      <c r="Y1" s="104" t="s">
        <v>2</v>
      </c>
      <c r="Z1" s="105"/>
      <c r="AA1" s="105"/>
      <c r="AB1" s="105"/>
      <c r="AC1" s="106"/>
      <c r="AD1" s="2"/>
      <c r="AE1" s="2"/>
      <c r="AF1" s="2"/>
      <c r="AG1" s="2"/>
      <c r="AH1" s="2"/>
    </row>
    <row r="2" spans="1:37" ht="15.75" x14ac:dyDescent="0.2">
      <c r="A2" s="61" t="s">
        <v>421</v>
      </c>
      <c r="B2" s="68" t="s">
        <v>422</v>
      </c>
      <c r="C2" s="72" t="s">
        <v>5</v>
      </c>
      <c r="D2" s="68" t="s">
        <v>214</v>
      </c>
      <c r="E2" s="72" t="s">
        <v>7</v>
      </c>
      <c r="F2" s="72" t="s">
        <v>8</v>
      </c>
      <c r="G2" s="44" t="s">
        <v>158</v>
      </c>
      <c r="H2" s="45" t="s">
        <v>159</v>
      </c>
      <c r="I2" s="42"/>
      <c r="J2" s="26"/>
      <c r="K2" s="44" t="s">
        <v>160</v>
      </c>
      <c r="L2" s="44" t="s">
        <v>215</v>
      </c>
      <c r="M2" s="3" t="s">
        <v>8</v>
      </c>
      <c r="N2" s="2"/>
      <c r="O2" s="5"/>
      <c r="P2" s="5"/>
      <c r="Q2" s="5"/>
      <c r="R2" s="2"/>
      <c r="S2" s="2"/>
      <c r="T2" s="2"/>
      <c r="U2" s="2"/>
      <c r="V2" s="2"/>
      <c r="W2" s="2"/>
      <c r="X2" s="2"/>
      <c r="Y2" s="68" t="s">
        <v>161</v>
      </c>
      <c r="Z2" s="72" t="s">
        <v>13</v>
      </c>
      <c r="AA2" s="72" t="s">
        <v>8</v>
      </c>
      <c r="AB2" s="72" t="s">
        <v>188</v>
      </c>
      <c r="AC2" s="72" t="s">
        <v>189</v>
      </c>
      <c r="AD2" s="2"/>
      <c r="AE2" s="2"/>
      <c r="AF2" s="2"/>
      <c r="AG2" s="2"/>
      <c r="AH2" s="2"/>
    </row>
    <row r="3" spans="1:37" ht="15" x14ac:dyDescent="0.2">
      <c r="A3" s="37" t="s">
        <v>15</v>
      </c>
      <c r="B3" s="9" t="s">
        <v>16</v>
      </c>
      <c r="C3" s="9" t="s">
        <v>17</v>
      </c>
      <c r="D3" s="34" t="s">
        <v>18</v>
      </c>
      <c r="E3" s="9" t="s">
        <v>19</v>
      </c>
      <c r="F3" s="9" t="s">
        <v>20</v>
      </c>
      <c r="G3" s="39">
        <v>45910.4375</v>
      </c>
      <c r="H3" s="39">
        <v>45972.4375</v>
      </c>
      <c r="I3" s="42"/>
      <c r="J3" s="10"/>
      <c r="K3" s="7" t="s">
        <v>22</v>
      </c>
      <c r="L3" s="7" t="s">
        <v>23</v>
      </c>
      <c r="M3" s="7" t="s">
        <v>20</v>
      </c>
      <c r="N3" s="2"/>
      <c r="O3" s="10"/>
      <c r="P3" s="2"/>
      <c r="Q3" s="2"/>
      <c r="R3" s="2"/>
      <c r="S3" s="2"/>
      <c r="T3" s="2"/>
      <c r="U3" s="2"/>
      <c r="V3" s="2"/>
      <c r="W3" s="2"/>
      <c r="X3" s="2"/>
      <c r="Y3" s="9" t="s">
        <v>24</v>
      </c>
      <c r="Z3" s="9" t="s">
        <v>25</v>
      </c>
      <c r="AA3" s="9" t="s">
        <v>26</v>
      </c>
      <c r="AB3" s="29">
        <v>45972.461805555555</v>
      </c>
      <c r="AC3" s="29">
        <v>45972.472569444442</v>
      </c>
      <c r="AD3" s="2"/>
      <c r="AE3" s="2"/>
      <c r="AF3" s="2"/>
      <c r="AG3" s="2"/>
      <c r="AH3" s="2"/>
    </row>
    <row r="4" spans="1:37" ht="15" x14ac:dyDescent="0.2">
      <c r="A4" s="37" t="s">
        <v>29</v>
      </c>
      <c r="B4" s="9" t="s">
        <v>30</v>
      </c>
      <c r="C4" s="9" t="s">
        <v>31</v>
      </c>
      <c r="D4" s="34" t="s">
        <v>32</v>
      </c>
      <c r="E4" s="9" t="s">
        <v>33</v>
      </c>
      <c r="F4" s="9" t="s">
        <v>20</v>
      </c>
      <c r="G4" s="38">
        <v>45910.4375</v>
      </c>
      <c r="H4" s="51">
        <v>45976.418749999997</v>
      </c>
      <c r="I4" s="42"/>
      <c r="J4" s="30"/>
      <c r="K4" s="7" t="s">
        <v>34</v>
      </c>
      <c r="L4" s="7" t="s">
        <v>35</v>
      </c>
      <c r="M4" s="7" t="s">
        <v>20</v>
      </c>
      <c r="N4" s="2"/>
      <c r="O4" s="10"/>
      <c r="P4" s="2"/>
      <c r="Q4" s="2"/>
      <c r="R4" s="2"/>
      <c r="S4" s="2"/>
      <c r="T4" s="2"/>
      <c r="U4" s="2"/>
      <c r="V4" s="2"/>
      <c r="W4" s="2"/>
      <c r="X4" s="2"/>
      <c r="Y4" s="9" t="s">
        <v>36</v>
      </c>
      <c r="Z4" s="9" t="s">
        <v>37</v>
      </c>
      <c r="AA4" s="9" t="s">
        <v>26</v>
      </c>
      <c r="AB4" s="29">
        <v>45972.46875</v>
      </c>
      <c r="AC4" s="29">
        <v>45972.480555555558</v>
      </c>
      <c r="AD4" s="2"/>
      <c r="AE4" s="2"/>
      <c r="AF4" s="2"/>
      <c r="AG4" s="2"/>
      <c r="AH4" s="2"/>
    </row>
    <row r="5" spans="1:37" ht="15" x14ac:dyDescent="0.2">
      <c r="A5" s="42"/>
      <c r="B5" s="42"/>
      <c r="C5" s="42"/>
      <c r="D5" s="42"/>
      <c r="E5" s="42"/>
      <c r="F5" s="42"/>
      <c r="G5" s="42"/>
      <c r="H5" s="42"/>
      <c r="I5" s="42"/>
      <c r="J5" s="2"/>
      <c r="K5" s="7" t="s">
        <v>40</v>
      </c>
      <c r="L5" s="7" t="s">
        <v>41</v>
      </c>
      <c r="M5" s="7" t="s">
        <v>20</v>
      </c>
      <c r="N5" s="2"/>
      <c r="O5" s="10"/>
      <c r="P5" s="2"/>
      <c r="Q5" s="2"/>
      <c r="R5" s="2"/>
      <c r="S5" s="2"/>
      <c r="T5" s="2"/>
      <c r="U5" s="2"/>
      <c r="V5" s="2"/>
      <c r="W5" s="2"/>
      <c r="X5" s="2"/>
      <c r="Y5" s="9" t="s">
        <v>42</v>
      </c>
      <c r="Z5" s="9" t="s">
        <v>43</v>
      </c>
      <c r="AA5" s="9" t="s">
        <v>44</v>
      </c>
      <c r="AB5" s="29">
        <v>45972.473611111112</v>
      </c>
      <c r="AC5" s="29">
        <v>45972.489583333336</v>
      </c>
      <c r="AD5" s="2"/>
      <c r="AE5" s="2"/>
      <c r="AF5" s="2"/>
      <c r="AG5" s="2"/>
      <c r="AH5" s="2"/>
    </row>
    <row r="6" spans="1:37" ht="20.25" x14ac:dyDescent="0.2">
      <c r="A6" s="85" t="s">
        <v>47</v>
      </c>
      <c r="B6" s="85"/>
      <c r="C6" s="85"/>
      <c r="D6" s="85"/>
      <c r="E6" s="85"/>
      <c r="F6" s="85"/>
      <c r="G6" s="85"/>
      <c r="H6" s="85"/>
      <c r="I6" s="85"/>
      <c r="J6" s="2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7" ht="20.25" x14ac:dyDescent="0.2">
      <c r="A7" s="67" t="s">
        <v>424</v>
      </c>
      <c r="B7" s="43" t="s">
        <v>423</v>
      </c>
      <c r="C7" s="4" t="s">
        <v>49</v>
      </c>
      <c r="D7" s="43" t="s">
        <v>216</v>
      </c>
      <c r="E7" s="4" t="s">
        <v>7</v>
      </c>
      <c r="F7" s="4" t="s">
        <v>8</v>
      </c>
      <c r="G7" s="47" t="s">
        <v>158</v>
      </c>
      <c r="H7" s="52" t="s">
        <v>159</v>
      </c>
      <c r="I7" s="36" t="s">
        <v>162</v>
      </c>
      <c r="J7" s="26"/>
      <c r="K7" s="86" t="s">
        <v>51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1"/>
      <c r="X7" s="2"/>
      <c r="Y7" s="104" t="s">
        <v>217</v>
      </c>
      <c r="Z7" s="105"/>
      <c r="AA7" s="105"/>
      <c r="AB7" s="105"/>
      <c r="AC7" s="105"/>
      <c r="AD7" s="105"/>
      <c r="AE7" s="106"/>
      <c r="AF7" s="2"/>
      <c r="AG7" s="2"/>
      <c r="AH7" s="2"/>
    </row>
    <row r="8" spans="1:37" ht="15.75" x14ac:dyDescent="0.2">
      <c r="A8" s="62" t="s">
        <v>25</v>
      </c>
      <c r="B8" s="63" t="s">
        <v>53</v>
      </c>
      <c r="C8" s="63" t="s">
        <v>54</v>
      </c>
      <c r="D8" s="63" t="s">
        <v>55</v>
      </c>
      <c r="E8" s="64" t="s">
        <v>56</v>
      </c>
      <c r="F8" s="63" t="s">
        <v>20</v>
      </c>
      <c r="G8" s="39">
        <v>45972.479166666664</v>
      </c>
      <c r="H8" s="53"/>
      <c r="I8" s="40"/>
      <c r="J8" s="31"/>
      <c r="K8" s="47" t="s">
        <v>169</v>
      </c>
      <c r="L8" s="47" t="s">
        <v>218</v>
      </c>
      <c r="M8" s="13" t="s">
        <v>60</v>
      </c>
      <c r="N8" s="47" t="s">
        <v>219</v>
      </c>
      <c r="O8" s="13" t="s">
        <v>62</v>
      </c>
      <c r="P8" s="13" t="s">
        <v>63</v>
      </c>
      <c r="Q8" s="13" t="s">
        <v>8</v>
      </c>
      <c r="R8" s="13" t="s">
        <v>10</v>
      </c>
      <c r="S8" s="13" t="s">
        <v>11</v>
      </c>
      <c r="T8" s="13" t="s">
        <v>188</v>
      </c>
      <c r="U8" s="13" t="s">
        <v>189</v>
      </c>
      <c r="V8" s="13" t="s">
        <v>220</v>
      </c>
      <c r="W8" s="5"/>
      <c r="X8" s="2"/>
      <c r="Y8" s="68" t="s">
        <v>221</v>
      </c>
      <c r="Z8" s="68" t="s">
        <v>222</v>
      </c>
      <c r="AA8" s="68" t="s">
        <v>223</v>
      </c>
      <c r="AB8" s="72" t="s">
        <v>164</v>
      </c>
      <c r="AC8" s="72" t="s">
        <v>224</v>
      </c>
      <c r="AD8" s="72" t="s">
        <v>188</v>
      </c>
      <c r="AE8" s="72" t="s">
        <v>189</v>
      </c>
      <c r="AF8" s="2"/>
      <c r="AG8" s="2"/>
      <c r="AH8" s="2"/>
    </row>
    <row r="9" spans="1:37" ht="15" x14ac:dyDescent="0.2">
      <c r="A9" s="37" t="s">
        <v>37</v>
      </c>
      <c r="B9" s="9" t="s">
        <v>69</v>
      </c>
      <c r="C9" s="9" t="s">
        <v>70</v>
      </c>
      <c r="D9" s="9" t="s">
        <v>71</v>
      </c>
      <c r="E9" s="21" t="s">
        <v>72</v>
      </c>
      <c r="F9" s="9" t="s">
        <v>20</v>
      </c>
      <c r="G9" s="39">
        <v>45972.527777777781</v>
      </c>
      <c r="H9" s="39"/>
      <c r="I9" s="40"/>
      <c r="J9" s="10"/>
      <c r="K9" s="7" t="s">
        <v>74</v>
      </c>
      <c r="L9" s="7" t="s">
        <v>75</v>
      </c>
      <c r="M9" s="7" t="s">
        <v>76</v>
      </c>
      <c r="N9" s="15">
        <v>46003</v>
      </c>
      <c r="O9" s="7" t="s">
        <v>77</v>
      </c>
      <c r="P9" s="7" t="s">
        <v>78</v>
      </c>
      <c r="Q9" s="7" t="s">
        <v>79</v>
      </c>
      <c r="R9" s="7" t="s">
        <v>22</v>
      </c>
      <c r="S9" s="7" t="s">
        <v>23</v>
      </c>
      <c r="T9" s="8">
        <v>45972.416666666664</v>
      </c>
      <c r="U9" s="7"/>
      <c r="V9" s="7"/>
      <c r="W9" s="2"/>
      <c r="X9" s="2"/>
      <c r="Y9" s="9" t="s">
        <v>225</v>
      </c>
      <c r="Z9" s="9" t="s">
        <v>24</v>
      </c>
      <c r="AA9" s="9" t="s">
        <v>124</v>
      </c>
      <c r="AB9" s="9">
        <v>1</v>
      </c>
      <c r="AC9" s="9">
        <v>890</v>
      </c>
      <c r="AD9" s="29">
        <v>45972.465277777781</v>
      </c>
      <c r="AE9" s="29">
        <v>45972.472569444442</v>
      </c>
      <c r="AF9" s="2"/>
      <c r="AG9" s="2"/>
      <c r="AH9" s="2"/>
    </row>
    <row r="10" spans="1:37" ht="15" x14ac:dyDescent="0.2">
      <c r="A10" s="37" t="s">
        <v>43</v>
      </c>
      <c r="B10" s="9" t="s">
        <v>85</v>
      </c>
      <c r="C10" s="9" t="s">
        <v>86</v>
      </c>
      <c r="D10" s="9" t="s">
        <v>87</v>
      </c>
      <c r="E10" s="21" t="s">
        <v>88</v>
      </c>
      <c r="F10" s="9" t="s">
        <v>20</v>
      </c>
      <c r="G10" s="39">
        <v>45972.53125</v>
      </c>
      <c r="H10" s="39"/>
      <c r="I10" s="40"/>
      <c r="J10" s="10"/>
      <c r="K10" s="7" t="s">
        <v>90</v>
      </c>
      <c r="L10" s="7" t="s">
        <v>91</v>
      </c>
      <c r="M10" s="7" t="s">
        <v>92</v>
      </c>
      <c r="N10" s="15" t="s">
        <v>226</v>
      </c>
      <c r="O10" s="7" t="s">
        <v>93</v>
      </c>
      <c r="P10" s="7" t="s">
        <v>94</v>
      </c>
      <c r="Q10" s="7" t="s">
        <v>79</v>
      </c>
      <c r="R10" s="7" t="s">
        <v>34</v>
      </c>
      <c r="S10" s="7" t="s">
        <v>35</v>
      </c>
      <c r="T10" s="8" t="s">
        <v>227</v>
      </c>
      <c r="U10" s="7"/>
      <c r="V10" s="7"/>
      <c r="W10" s="2"/>
      <c r="X10" s="2"/>
      <c r="Y10" s="9" t="s">
        <v>228</v>
      </c>
      <c r="Z10" s="9" t="s">
        <v>24</v>
      </c>
      <c r="AA10" s="9" t="s">
        <v>198</v>
      </c>
      <c r="AB10" s="9">
        <v>2</v>
      </c>
      <c r="AC10" s="9">
        <v>1290</v>
      </c>
      <c r="AD10" s="29">
        <v>45972.466666666667</v>
      </c>
      <c r="AE10" s="29">
        <v>45972.472569444442</v>
      </c>
      <c r="AF10" s="2"/>
      <c r="AG10" s="2"/>
      <c r="AH10" s="2"/>
    </row>
    <row r="11" spans="1:37" ht="15" x14ac:dyDescent="0.2">
      <c r="A11" s="37" t="s">
        <v>100</v>
      </c>
      <c r="B11" s="35" t="s">
        <v>101</v>
      </c>
      <c r="C11" s="9" t="s">
        <v>102</v>
      </c>
      <c r="D11" s="9" t="s">
        <v>103</v>
      </c>
      <c r="E11" s="21" t="s">
        <v>104</v>
      </c>
      <c r="F11" s="9" t="s">
        <v>20</v>
      </c>
      <c r="G11" s="39">
        <v>45972.611111111109</v>
      </c>
      <c r="H11" s="39"/>
      <c r="I11" s="40"/>
      <c r="J11" s="10"/>
      <c r="K11" s="7" t="s">
        <v>106</v>
      </c>
      <c r="L11" s="7" t="s">
        <v>107</v>
      </c>
      <c r="M11" s="7" t="s">
        <v>108</v>
      </c>
      <c r="N11" s="15">
        <v>46297</v>
      </c>
      <c r="O11" s="7" t="s">
        <v>109</v>
      </c>
      <c r="P11" s="7" t="s">
        <v>110</v>
      </c>
      <c r="Q11" s="7" t="s">
        <v>79</v>
      </c>
      <c r="R11" s="7" t="s">
        <v>40</v>
      </c>
      <c r="S11" s="7" t="s">
        <v>41</v>
      </c>
      <c r="T11" s="8" t="s">
        <v>229</v>
      </c>
      <c r="U11" s="7"/>
      <c r="V11" s="7"/>
      <c r="W11" s="2"/>
      <c r="X11" s="2"/>
      <c r="Y11" s="9" t="s">
        <v>230</v>
      </c>
      <c r="Z11" s="9" t="s">
        <v>36</v>
      </c>
      <c r="AA11" s="9" t="s">
        <v>133</v>
      </c>
      <c r="AB11" s="9">
        <v>1</v>
      </c>
      <c r="AC11" s="9">
        <v>1590</v>
      </c>
      <c r="AD11" s="29">
        <v>45972.475694444445</v>
      </c>
      <c r="AE11" s="29">
        <v>45972.480555555558</v>
      </c>
      <c r="AF11" s="2"/>
      <c r="AG11" s="2"/>
      <c r="AH11" s="2"/>
    </row>
    <row r="12" spans="1:37" ht="1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9" t="s">
        <v>231</v>
      </c>
      <c r="Z12" s="9" t="s">
        <v>42</v>
      </c>
      <c r="AA12" s="9" t="s">
        <v>166</v>
      </c>
      <c r="AB12" s="9">
        <v>1</v>
      </c>
      <c r="AC12" s="9">
        <v>1990</v>
      </c>
      <c r="AD12" s="29">
        <v>45972.475694444445</v>
      </c>
      <c r="AE12" s="29">
        <v>45972.489583333336</v>
      </c>
      <c r="AF12" s="2"/>
      <c r="AG12" s="2"/>
      <c r="AH12" s="2"/>
    </row>
    <row r="13" spans="1:37" ht="20.25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90" t="s">
        <v>232</v>
      </c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1"/>
      <c r="W13" s="1"/>
      <c r="X13" s="2"/>
      <c r="Y13" s="9" t="s">
        <v>233</v>
      </c>
      <c r="Z13" s="9" t="s">
        <v>42</v>
      </c>
      <c r="AA13" s="9" t="s">
        <v>124</v>
      </c>
      <c r="AB13" s="9">
        <v>1</v>
      </c>
      <c r="AC13" s="9">
        <v>890</v>
      </c>
      <c r="AD13" s="29">
        <v>45972.479166666664</v>
      </c>
      <c r="AE13" s="29">
        <v>45972.489583333336</v>
      </c>
      <c r="AF13" s="2"/>
      <c r="AG13" s="2"/>
      <c r="AH13" s="2"/>
    </row>
    <row r="14" spans="1:37" ht="15.7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47" t="s">
        <v>234</v>
      </c>
      <c r="L14" s="47" t="s">
        <v>235</v>
      </c>
      <c r="M14" s="47" t="s">
        <v>236</v>
      </c>
      <c r="N14" s="13" t="s">
        <v>171</v>
      </c>
      <c r="O14" s="13" t="s">
        <v>172</v>
      </c>
      <c r="P14" s="13" t="s">
        <v>237</v>
      </c>
      <c r="Q14" s="13" t="s">
        <v>238</v>
      </c>
      <c r="R14" s="13" t="s">
        <v>8</v>
      </c>
      <c r="S14" s="13" t="s">
        <v>188</v>
      </c>
      <c r="T14" s="13" t="s">
        <v>189</v>
      </c>
      <c r="U14" s="13" t="s">
        <v>220</v>
      </c>
      <c r="V14" s="5"/>
      <c r="W14" s="5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7" ht="20.2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7" t="s">
        <v>167</v>
      </c>
      <c r="L15" s="7" t="s">
        <v>74</v>
      </c>
      <c r="M15" s="7" t="s">
        <v>173</v>
      </c>
      <c r="N15" s="7">
        <v>4500</v>
      </c>
      <c r="O15" s="7">
        <v>100</v>
      </c>
      <c r="P15" s="8">
        <v>45981.416666666664</v>
      </c>
      <c r="Q15" s="8">
        <v>46010.999305555553</v>
      </c>
      <c r="R15" s="7" t="s">
        <v>239</v>
      </c>
      <c r="S15" s="8">
        <v>45972.416666666664</v>
      </c>
      <c r="T15" s="7"/>
      <c r="U15" s="7"/>
      <c r="V15" s="2"/>
      <c r="W15" s="2"/>
      <c r="X15" s="2"/>
      <c r="Y15" s="86" t="s">
        <v>52</v>
      </c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</row>
    <row r="16" spans="1:37" ht="15.7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7" t="s">
        <v>168</v>
      </c>
      <c r="L16" s="7" t="s">
        <v>74</v>
      </c>
      <c r="M16" s="7" t="s">
        <v>174</v>
      </c>
      <c r="N16" s="7">
        <v>2500</v>
      </c>
      <c r="O16" s="7">
        <v>300</v>
      </c>
      <c r="P16" s="8">
        <v>45981.416666666664</v>
      </c>
      <c r="Q16" s="8">
        <v>46010.999305555553</v>
      </c>
      <c r="R16" s="7" t="s">
        <v>239</v>
      </c>
      <c r="S16" s="8">
        <v>45972.416666666664</v>
      </c>
      <c r="T16" s="7"/>
      <c r="U16" s="7"/>
      <c r="V16" s="2"/>
      <c r="W16" s="2"/>
      <c r="X16" s="2"/>
      <c r="Y16" s="43" t="s">
        <v>175</v>
      </c>
      <c r="Z16" s="4" t="s">
        <v>13</v>
      </c>
      <c r="AA16" s="4" t="s">
        <v>66</v>
      </c>
      <c r="AB16" s="4" t="s">
        <v>240</v>
      </c>
      <c r="AC16" s="43" t="s">
        <v>384</v>
      </c>
      <c r="AD16" s="4" t="s">
        <v>176</v>
      </c>
      <c r="AE16" s="4" t="s">
        <v>8</v>
      </c>
      <c r="AF16" s="28" t="s">
        <v>144</v>
      </c>
      <c r="AG16" s="28" t="s">
        <v>204</v>
      </c>
      <c r="AH16" s="28" t="s">
        <v>205</v>
      </c>
      <c r="AI16" s="4" t="s">
        <v>188</v>
      </c>
      <c r="AJ16" s="4" t="s">
        <v>189</v>
      </c>
      <c r="AK16" s="4" t="s">
        <v>220</v>
      </c>
    </row>
    <row r="17" spans="1:37" ht="1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7" t="s">
        <v>241</v>
      </c>
      <c r="L17" s="7" t="s">
        <v>90</v>
      </c>
      <c r="M17" s="7" t="s">
        <v>177</v>
      </c>
      <c r="N17" s="7">
        <v>3500</v>
      </c>
      <c r="O17" s="7">
        <v>80</v>
      </c>
      <c r="P17" s="8">
        <v>45992.375</v>
      </c>
      <c r="Q17" s="8">
        <v>46036.999305555553</v>
      </c>
      <c r="R17" s="7" t="s">
        <v>239</v>
      </c>
      <c r="S17" s="8" t="s">
        <v>227</v>
      </c>
      <c r="T17" s="7"/>
      <c r="U17" s="7"/>
      <c r="V17" s="2"/>
      <c r="W17" s="2"/>
      <c r="X17" s="2"/>
      <c r="Y17" s="9" t="s">
        <v>81</v>
      </c>
      <c r="Z17" s="9" t="s">
        <v>43</v>
      </c>
      <c r="AA17" s="29">
        <v>45972.482638888891</v>
      </c>
      <c r="AB17" s="40">
        <v>2880</v>
      </c>
      <c r="AC17" s="9">
        <f>SUM(AD23:AD24) - 300</f>
        <v>2580</v>
      </c>
      <c r="AD17" s="9" t="s">
        <v>178</v>
      </c>
      <c r="AE17" s="9" t="s">
        <v>83</v>
      </c>
      <c r="AF17" s="18" t="s">
        <v>153</v>
      </c>
      <c r="AG17" s="18" t="s">
        <v>211</v>
      </c>
      <c r="AH17" s="18">
        <v>300</v>
      </c>
      <c r="AI17" s="29">
        <v>45972.482638888891</v>
      </c>
      <c r="AJ17" s="29">
        <v>45972.493055555555</v>
      </c>
      <c r="AK17" s="9"/>
    </row>
    <row r="18" spans="1:37" ht="1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7" t="s">
        <v>242</v>
      </c>
      <c r="L18" s="7" t="s">
        <v>106</v>
      </c>
      <c r="M18" s="7" t="s">
        <v>173</v>
      </c>
      <c r="N18" s="7">
        <v>8500</v>
      </c>
      <c r="O18" s="7">
        <v>200</v>
      </c>
      <c r="P18" s="8">
        <v>46006.375</v>
      </c>
      <c r="Q18" s="8">
        <v>46062.999305555553</v>
      </c>
      <c r="R18" s="7" t="s">
        <v>239</v>
      </c>
      <c r="S18" s="8" t="s">
        <v>229</v>
      </c>
      <c r="T18" s="7"/>
      <c r="U18" s="7"/>
      <c r="V18" s="2"/>
      <c r="W18" s="2"/>
      <c r="X18" s="2"/>
      <c r="Y18" s="9" t="s">
        <v>96</v>
      </c>
      <c r="Z18" s="9" t="s">
        <v>243</v>
      </c>
      <c r="AA18" s="29">
        <v>45972.486111111109</v>
      </c>
      <c r="AB18" s="40">
        <v>9500</v>
      </c>
      <c r="AC18" s="9">
        <f>9500 - ( 9500 * 0.1)</f>
        <v>8550</v>
      </c>
      <c r="AD18" s="9" t="s">
        <v>179</v>
      </c>
      <c r="AE18" s="9" t="s">
        <v>98</v>
      </c>
      <c r="AF18" s="18" t="s">
        <v>148</v>
      </c>
      <c r="AG18" s="18" t="s">
        <v>208</v>
      </c>
      <c r="AH18" s="18">
        <v>20</v>
      </c>
      <c r="AI18" s="29">
        <v>45972.486111111109</v>
      </c>
      <c r="AJ18" s="29">
        <v>45972.489583333336</v>
      </c>
      <c r="AK18" s="9"/>
    </row>
    <row r="19" spans="1:37" ht="1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7" t="s">
        <v>244</v>
      </c>
      <c r="L19" s="7" t="s">
        <v>106</v>
      </c>
      <c r="M19" s="7" t="s">
        <v>174</v>
      </c>
      <c r="N19" s="7">
        <v>4500</v>
      </c>
      <c r="O19" s="7">
        <v>500</v>
      </c>
      <c r="P19" s="8">
        <v>46006.375</v>
      </c>
      <c r="Q19" s="8">
        <v>46062.999305555553</v>
      </c>
      <c r="R19" s="7" t="s">
        <v>239</v>
      </c>
      <c r="S19" s="8" t="s">
        <v>229</v>
      </c>
      <c r="T19" s="7"/>
      <c r="U19" s="7"/>
      <c r="V19" s="2"/>
      <c r="W19" s="2"/>
      <c r="X19" s="2"/>
      <c r="Y19" s="9" t="s">
        <v>112</v>
      </c>
      <c r="Z19" s="9" t="s">
        <v>25</v>
      </c>
      <c r="AA19" s="29">
        <v>45972.489583333336</v>
      </c>
      <c r="AB19" s="40">
        <v>890</v>
      </c>
      <c r="AC19" s="9">
        <f>890 - (890 * 0.1)</f>
        <v>801</v>
      </c>
      <c r="AD19" s="9" t="s">
        <v>178</v>
      </c>
      <c r="AE19" s="9" t="s">
        <v>83</v>
      </c>
      <c r="AF19" s="18" t="s">
        <v>148</v>
      </c>
      <c r="AG19" s="18" t="s">
        <v>208</v>
      </c>
      <c r="AH19" s="18">
        <v>20</v>
      </c>
      <c r="AI19" s="29">
        <v>45972.489583333336</v>
      </c>
      <c r="AJ19" s="29">
        <v>45972.510416666664</v>
      </c>
      <c r="AK19" s="9"/>
    </row>
    <row r="20" spans="1:37" ht="1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7" ht="20.2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90" t="s">
        <v>115</v>
      </c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1"/>
      <c r="W21" s="1"/>
      <c r="X21" s="2"/>
      <c r="Y21" s="87" t="s">
        <v>245</v>
      </c>
      <c r="Z21" s="88"/>
      <c r="AA21" s="88"/>
      <c r="AB21" s="88"/>
      <c r="AC21" s="88"/>
      <c r="AD21" s="88"/>
      <c r="AE21" s="88"/>
      <c r="AF21" s="88"/>
      <c r="AG21" s="89"/>
      <c r="AH21" s="1"/>
    </row>
    <row r="22" spans="1:37" ht="15.7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47" t="s">
        <v>180</v>
      </c>
      <c r="L22" s="47" t="s">
        <v>246</v>
      </c>
      <c r="M22" s="47" t="s">
        <v>247</v>
      </c>
      <c r="N22" s="13" t="s">
        <v>171</v>
      </c>
      <c r="O22" s="13" t="s">
        <v>172</v>
      </c>
      <c r="P22" s="13" t="s">
        <v>120</v>
      </c>
      <c r="Q22" s="13" t="s">
        <v>8</v>
      </c>
      <c r="R22" s="13" t="s">
        <v>182</v>
      </c>
      <c r="S22" s="13" t="s">
        <v>158</v>
      </c>
      <c r="T22" s="14" t="s">
        <v>159</v>
      </c>
      <c r="U22" s="14" t="s">
        <v>162</v>
      </c>
      <c r="V22" s="22"/>
      <c r="W22" s="22"/>
      <c r="X22" s="2"/>
      <c r="Y22" s="43" t="s">
        <v>248</v>
      </c>
      <c r="Z22" s="43" t="s">
        <v>249</v>
      </c>
      <c r="AA22" s="43" t="s">
        <v>223</v>
      </c>
      <c r="AB22" s="43" t="s">
        <v>250</v>
      </c>
      <c r="AC22" s="4" t="s">
        <v>164</v>
      </c>
      <c r="AD22" s="4" t="s">
        <v>165</v>
      </c>
      <c r="AE22" s="4" t="s">
        <v>188</v>
      </c>
      <c r="AF22" s="20" t="s">
        <v>189</v>
      </c>
      <c r="AG22" s="13" t="s">
        <v>220</v>
      </c>
    </row>
    <row r="23" spans="1:37" ht="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7" t="s">
        <v>124</v>
      </c>
      <c r="L23" s="7" t="s">
        <v>183</v>
      </c>
      <c r="M23" s="7" t="s">
        <v>184</v>
      </c>
      <c r="N23" s="7">
        <v>890</v>
      </c>
      <c r="O23" s="7">
        <v>200</v>
      </c>
      <c r="P23" s="7" t="s">
        <v>185</v>
      </c>
      <c r="Q23" s="7" t="s">
        <v>20</v>
      </c>
      <c r="R23" s="7" t="s">
        <v>15</v>
      </c>
      <c r="S23" s="8">
        <v>45972.4375</v>
      </c>
      <c r="T23" s="8">
        <v>45972.440972222219</v>
      </c>
      <c r="U23" s="7"/>
      <c r="V23" s="2"/>
      <c r="W23" s="2"/>
      <c r="X23" s="2"/>
      <c r="Y23" s="9" t="s">
        <v>251</v>
      </c>
      <c r="Z23" s="9" t="s">
        <v>81</v>
      </c>
      <c r="AA23" s="9" t="s">
        <v>166</v>
      </c>
      <c r="AB23" s="9"/>
      <c r="AC23" s="9">
        <v>1</v>
      </c>
      <c r="AD23" s="9">
        <v>1990</v>
      </c>
      <c r="AE23" s="29">
        <v>45972.482638888891</v>
      </c>
      <c r="AF23" s="29">
        <v>45972.493055555555</v>
      </c>
      <c r="AG23" s="7"/>
    </row>
    <row r="24" spans="1:37" ht="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40" t="s">
        <v>133</v>
      </c>
      <c r="L24" s="16" t="s">
        <v>190</v>
      </c>
      <c r="M24" s="16" t="s">
        <v>191</v>
      </c>
      <c r="N24" s="7">
        <v>1590</v>
      </c>
      <c r="O24" s="7">
        <v>120</v>
      </c>
      <c r="P24" s="7" t="s">
        <v>192</v>
      </c>
      <c r="Q24" s="7" t="s">
        <v>20</v>
      </c>
      <c r="R24" s="7" t="s">
        <v>15</v>
      </c>
      <c r="S24" s="8">
        <v>45972.4375</v>
      </c>
      <c r="T24" s="12">
        <v>45972.440972222219</v>
      </c>
      <c r="U24" s="7"/>
      <c r="V24" s="2"/>
      <c r="W24" s="2"/>
      <c r="X24" s="2"/>
      <c r="Y24" s="9" t="s">
        <v>252</v>
      </c>
      <c r="Z24" s="9" t="s">
        <v>81</v>
      </c>
      <c r="AA24" s="9" t="s">
        <v>124</v>
      </c>
      <c r="AB24" s="9"/>
      <c r="AC24" s="9">
        <v>1</v>
      </c>
      <c r="AD24" s="9">
        <v>890</v>
      </c>
      <c r="AE24" s="29">
        <v>45972.482638888891</v>
      </c>
      <c r="AF24" s="29">
        <v>45972.493055555555</v>
      </c>
      <c r="AG24" s="7"/>
    </row>
    <row r="25" spans="1:37" ht="1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40" t="s">
        <v>166</v>
      </c>
      <c r="L25" s="7" t="s">
        <v>194</v>
      </c>
      <c r="M25" s="7" t="s">
        <v>195</v>
      </c>
      <c r="N25" s="7">
        <v>1990</v>
      </c>
      <c r="O25" s="17">
        <v>80</v>
      </c>
      <c r="P25" s="7" t="s">
        <v>196</v>
      </c>
      <c r="Q25" s="7" t="s">
        <v>20</v>
      </c>
      <c r="R25" s="7" t="s">
        <v>29</v>
      </c>
      <c r="S25" s="8">
        <v>45972.444444444445</v>
      </c>
      <c r="T25" s="8">
        <v>45972.447916666664</v>
      </c>
      <c r="U25" s="7"/>
      <c r="V25" s="2"/>
      <c r="W25" s="2"/>
      <c r="X25" s="2"/>
      <c r="Y25" s="9" t="s">
        <v>130</v>
      </c>
      <c r="Z25" s="9" t="s">
        <v>96</v>
      </c>
      <c r="AA25" s="9"/>
      <c r="AB25" s="9" t="s">
        <v>167</v>
      </c>
      <c r="AC25" s="9">
        <v>1</v>
      </c>
      <c r="AD25" s="9">
        <v>4500</v>
      </c>
      <c r="AE25" s="29">
        <v>45972.486111111109</v>
      </c>
      <c r="AF25" s="29">
        <v>45972.489583333336</v>
      </c>
      <c r="AG25" s="7"/>
    </row>
    <row r="26" spans="1:37" ht="1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40" t="s">
        <v>198</v>
      </c>
      <c r="L26" s="7" t="s">
        <v>199</v>
      </c>
      <c r="M26" s="7" t="s">
        <v>200</v>
      </c>
      <c r="N26" s="7">
        <v>1290</v>
      </c>
      <c r="O26" s="17">
        <v>150</v>
      </c>
      <c r="P26" s="7" t="s">
        <v>201</v>
      </c>
      <c r="Q26" s="7" t="s">
        <v>20</v>
      </c>
      <c r="R26" s="7" t="s">
        <v>29</v>
      </c>
      <c r="S26" s="8">
        <v>45972.444444444445</v>
      </c>
      <c r="T26" s="8">
        <v>45972.447916666664</v>
      </c>
      <c r="U26" s="7"/>
      <c r="V26" s="2"/>
      <c r="W26" s="2"/>
      <c r="X26" s="2"/>
      <c r="Y26" s="9" t="s">
        <v>139</v>
      </c>
      <c r="Z26" s="9" t="s">
        <v>96</v>
      </c>
      <c r="AA26" s="9"/>
      <c r="AB26" s="9" t="s">
        <v>168</v>
      </c>
      <c r="AC26" s="9">
        <v>2</v>
      </c>
      <c r="AD26" s="9">
        <v>2500</v>
      </c>
      <c r="AE26" s="29">
        <v>45972.486111111109</v>
      </c>
      <c r="AF26" s="29">
        <v>45972.489583333336</v>
      </c>
      <c r="AG26" s="7"/>
    </row>
    <row r="27" spans="1:37" ht="1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9" t="s">
        <v>253</v>
      </c>
      <c r="Z27" s="9" t="s">
        <v>112</v>
      </c>
      <c r="AA27" s="9" t="s">
        <v>124</v>
      </c>
      <c r="AB27" s="9"/>
      <c r="AC27" s="9">
        <v>1</v>
      </c>
      <c r="AD27" s="9">
        <v>890</v>
      </c>
      <c r="AE27" s="29">
        <v>45972.489583333336</v>
      </c>
      <c r="AF27" s="29">
        <v>45972.510416666664</v>
      </c>
      <c r="AG27" s="7"/>
    </row>
    <row r="28" spans="1:37" ht="20.2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107" t="s">
        <v>143</v>
      </c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33"/>
      <c r="W28" s="33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7" ht="20.2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69" t="s">
        <v>203</v>
      </c>
      <c r="L29" s="69" t="s">
        <v>254</v>
      </c>
      <c r="M29" s="28" t="s">
        <v>204</v>
      </c>
      <c r="N29" s="28" t="s">
        <v>205</v>
      </c>
      <c r="O29" s="28" t="s">
        <v>206</v>
      </c>
      <c r="P29" s="28" t="s">
        <v>207</v>
      </c>
      <c r="Q29" s="28" t="s">
        <v>8</v>
      </c>
      <c r="R29" s="28" t="s">
        <v>182</v>
      </c>
      <c r="S29" s="28" t="s">
        <v>158</v>
      </c>
      <c r="T29" s="14" t="s">
        <v>159</v>
      </c>
      <c r="U29" s="14" t="s">
        <v>162</v>
      </c>
      <c r="V29" s="22"/>
      <c r="W29" s="22"/>
      <c r="X29" s="2"/>
      <c r="Y29" s="85" t="s">
        <v>116</v>
      </c>
      <c r="Z29" s="85"/>
      <c r="AA29" s="85"/>
      <c r="AB29" s="85"/>
      <c r="AC29" s="85"/>
      <c r="AD29" s="85"/>
      <c r="AE29" s="85"/>
      <c r="AF29" s="85"/>
      <c r="AG29" s="85"/>
      <c r="AH29" s="2"/>
    </row>
    <row r="30" spans="1:37" ht="15.7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18" t="s">
        <v>148</v>
      </c>
      <c r="L30" s="18" t="s">
        <v>255</v>
      </c>
      <c r="M30" s="18" t="s">
        <v>208</v>
      </c>
      <c r="N30" s="18">
        <v>10</v>
      </c>
      <c r="O30" s="19" t="s">
        <v>209</v>
      </c>
      <c r="P30" s="19" t="s">
        <v>210</v>
      </c>
      <c r="Q30" s="18" t="s">
        <v>20</v>
      </c>
      <c r="R30" s="18" t="s">
        <v>15</v>
      </c>
      <c r="S30" s="11">
        <v>45972.458333333336</v>
      </c>
      <c r="T30" s="7"/>
      <c r="U30" s="7"/>
      <c r="V30" s="2"/>
      <c r="W30" s="2"/>
      <c r="X30" s="2"/>
      <c r="Y30" s="61" t="s">
        <v>121</v>
      </c>
      <c r="Z30" s="72" t="s">
        <v>122</v>
      </c>
      <c r="AA30" s="61" t="s">
        <v>186</v>
      </c>
      <c r="AB30" s="61" t="s">
        <v>256</v>
      </c>
      <c r="AC30" s="61" t="s">
        <v>8</v>
      </c>
      <c r="AD30" s="61" t="s">
        <v>188</v>
      </c>
      <c r="AE30" s="61" t="s">
        <v>189</v>
      </c>
      <c r="AF30" s="61" t="s">
        <v>162</v>
      </c>
      <c r="AG30" s="61" t="s">
        <v>162</v>
      </c>
      <c r="AH30" s="2"/>
    </row>
    <row r="31" spans="1:37" ht="1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18" t="s">
        <v>153</v>
      </c>
      <c r="L31" s="18" t="s">
        <v>154</v>
      </c>
      <c r="M31" s="18" t="s">
        <v>211</v>
      </c>
      <c r="N31" s="18">
        <v>300</v>
      </c>
      <c r="O31" s="19" t="s">
        <v>212</v>
      </c>
      <c r="P31" s="19" t="s">
        <v>213</v>
      </c>
      <c r="Q31" s="18" t="s">
        <v>20</v>
      </c>
      <c r="R31" s="18" t="s">
        <v>29</v>
      </c>
      <c r="S31" s="11">
        <v>45976.418749999997</v>
      </c>
      <c r="T31" s="7"/>
      <c r="U31" s="7"/>
      <c r="V31" s="2"/>
      <c r="W31" s="2"/>
      <c r="X31" s="2"/>
      <c r="Y31" s="37" t="s">
        <v>129</v>
      </c>
      <c r="Z31" s="9" t="s">
        <v>130</v>
      </c>
      <c r="AA31" s="9">
        <v>99</v>
      </c>
      <c r="AB31" s="37" t="s">
        <v>193</v>
      </c>
      <c r="AC31" s="37" t="s">
        <v>132</v>
      </c>
      <c r="AD31" s="29">
        <v>45972.489583333336</v>
      </c>
      <c r="AE31" s="29"/>
      <c r="AF31" s="9"/>
      <c r="AG31" s="9"/>
      <c r="AH31" s="2"/>
    </row>
    <row r="32" spans="1:37" ht="15.7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2"/>
      <c r="V32" s="22"/>
      <c r="W32" s="22"/>
      <c r="X32" s="22"/>
      <c r="Y32" s="37" t="s">
        <v>138</v>
      </c>
      <c r="Z32" s="9" t="s">
        <v>139</v>
      </c>
      <c r="AA32" s="9">
        <v>1</v>
      </c>
      <c r="AB32" s="37" t="s">
        <v>197</v>
      </c>
      <c r="AC32" s="37" t="s">
        <v>132</v>
      </c>
      <c r="AD32" s="29">
        <v>45972.489583333336</v>
      </c>
      <c r="AE32" s="29"/>
      <c r="AF32" s="9"/>
      <c r="AG32" s="9"/>
      <c r="AH32" s="2"/>
    </row>
    <row r="33" spans="1:34" ht="15.7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5"/>
      <c r="V33" s="5"/>
      <c r="W33" s="5"/>
      <c r="X33" s="5"/>
      <c r="Y33" s="37" t="s">
        <v>141</v>
      </c>
      <c r="Z33" s="9" t="s">
        <v>139</v>
      </c>
      <c r="AA33" s="9">
        <v>2</v>
      </c>
      <c r="AB33" s="37" t="s">
        <v>202</v>
      </c>
      <c r="AC33" s="37" t="s">
        <v>132</v>
      </c>
      <c r="AD33" s="29">
        <v>45972.489583333336</v>
      </c>
      <c r="AE33" s="29"/>
      <c r="AF33" s="9"/>
      <c r="AG33" s="9"/>
      <c r="AH33" s="2"/>
    </row>
    <row r="34" spans="1:34" ht="1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10"/>
      <c r="Z34" s="2"/>
      <c r="AA34" s="2"/>
      <c r="AB34" s="2"/>
      <c r="AC34" s="27"/>
      <c r="AD34" s="2"/>
      <c r="AE34" s="2"/>
      <c r="AF34" s="2"/>
      <c r="AG34" s="2"/>
      <c r="AH34" s="2"/>
    </row>
    <row r="35" spans="1:34" ht="1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10"/>
      <c r="Z35" s="2"/>
      <c r="AA35" s="2"/>
      <c r="AB35" s="2"/>
      <c r="AC35" s="27"/>
      <c r="AD35" s="2"/>
      <c r="AE35" s="2"/>
      <c r="AF35" s="2"/>
      <c r="AG35" s="2"/>
      <c r="AH35" s="2"/>
    </row>
    <row r="36" spans="1:34" ht="1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10"/>
      <c r="Z36" s="2"/>
      <c r="AA36" s="2"/>
      <c r="AB36" s="2"/>
      <c r="AC36" s="27"/>
      <c r="AD36" s="2"/>
      <c r="AE36" s="2"/>
      <c r="AF36" s="2"/>
      <c r="AG36" s="2"/>
      <c r="AH36" s="2"/>
    </row>
  </sheetData>
  <mergeCells count="12">
    <mergeCell ref="Y29:AG29"/>
    <mergeCell ref="K13:U13"/>
    <mergeCell ref="K21:U21"/>
    <mergeCell ref="Y21:AG21"/>
    <mergeCell ref="K28:U28"/>
    <mergeCell ref="Y15:AK15"/>
    <mergeCell ref="K1:M1"/>
    <mergeCell ref="Y1:AC1"/>
    <mergeCell ref="Y7:AE7"/>
    <mergeCell ref="K7:V7"/>
    <mergeCell ref="A1:H1"/>
    <mergeCell ref="A6:I6"/>
  </mergeCells>
  <hyperlinks>
    <hyperlink ref="D3" r:id="rId1" xr:uid="{05F897F2-D1B9-4DEC-AC4E-E02B0D9CB7B5}"/>
    <hyperlink ref="D4" r:id="rId2" xr:uid="{1C167292-C63F-44CC-A814-4255307E778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D56C-A3BC-476E-AF05-ED368B542E3E}">
  <dimension ref="A1:AI36"/>
  <sheetViews>
    <sheetView zoomScale="70" zoomScaleNormal="70" workbookViewId="0">
      <selection activeCell="A7" sqref="A7:B7"/>
    </sheetView>
  </sheetViews>
  <sheetFormatPr defaultRowHeight="15" x14ac:dyDescent="0.2"/>
  <cols>
    <col min="1" max="1" width="13" style="2" bestFit="1" customWidth="1"/>
    <col min="2" max="2" width="40.25" style="2" bestFit="1" customWidth="1"/>
    <col min="3" max="3" width="12.75" style="2" bestFit="1" customWidth="1"/>
    <col min="4" max="4" width="24" style="2" bestFit="1" customWidth="1"/>
    <col min="5" max="5" width="13.75" style="2" bestFit="1" customWidth="1"/>
    <col min="6" max="6" width="7.5" style="2" bestFit="1" customWidth="1"/>
    <col min="7" max="8" width="16.75" style="2" bestFit="1" customWidth="1"/>
    <col min="9" max="9" width="7.5" style="2" bestFit="1" customWidth="1"/>
    <col min="10" max="10" width="16.625" style="2" customWidth="1"/>
    <col min="11" max="11" width="23.875" style="2" bestFit="1" customWidth="1"/>
    <col min="12" max="12" width="26.625" style="2" bestFit="1" customWidth="1"/>
    <col min="13" max="13" width="18.75" style="2" bestFit="1" customWidth="1"/>
    <col min="14" max="14" width="16.5" style="2" bestFit="1" customWidth="1"/>
    <col min="15" max="15" width="22.25" style="2" bestFit="1" customWidth="1"/>
    <col min="16" max="17" width="16.75" style="2" bestFit="1" customWidth="1"/>
    <col min="18" max="18" width="25.125" style="2" bestFit="1" customWidth="1"/>
    <col min="19" max="19" width="17.375" style="2" bestFit="1" customWidth="1"/>
    <col min="20" max="20" width="16.75" style="2" bestFit="1" customWidth="1"/>
    <col min="21" max="21" width="8.75" style="2" bestFit="1" customWidth="1"/>
    <col min="22" max="22" width="9" style="2" bestFit="1" customWidth="1"/>
    <col min="23" max="23" width="19.625" style="2" bestFit="1" customWidth="1"/>
    <col min="24" max="24" width="19.25" style="2" bestFit="1" customWidth="1"/>
    <col min="25" max="25" width="16.75" style="2" bestFit="1" customWidth="1"/>
    <col min="26" max="26" width="20.5" style="2" bestFit="1" customWidth="1"/>
    <col min="27" max="27" width="23.5" style="2" bestFit="1" customWidth="1"/>
    <col min="28" max="28" width="18.875" style="2" bestFit="1" customWidth="1"/>
    <col min="29" max="30" width="16.75" style="2" bestFit="1" customWidth="1"/>
    <col min="31" max="31" width="15.25" style="2" bestFit="1" customWidth="1"/>
    <col min="32" max="32" width="6.375" style="2" bestFit="1" customWidth="1"/>
    <col min="33" max="34" width="16.75" style="2" bestFit="1" customWidth="1"/>
    <col min="35" max="36" width="8.75" style="2" bestFit="1" customWidth="1"/>
    <col min="37" max="16384" width="9" style="2"/>
  </cols>
  <sheetData>
    <row r="1" spans="1:35" ht="20.25" x14ac:dyDescent="0.2">
      <c r="A1" s="97" t="s">
        <v>0</v>
      </c>
      <c r="B1" s="97"/>
      <c r="C1" s="97"/>
      <c r="D1" s="97"/>
      <c r="E1" s="97"/>
      <c r="F1" s="97"/>
      <c r="G1" s="97"/>
      <c r="H1" s="98"/>
      <c r="I1" s="41"/>
      <c r="J1" s="22"/>
      <c r="K1" s="90" t="s">
        <v>1</v>
      </c>
      <c r="L1" s="90"/>
      <c r="M1" s="90"/>
      <c r="N1" s="22"/>
      <c r="O1" s="22"/>
      <c r="P1" s="22"/>
      <c r="Q1" s="22"/>
      <c r="W1" s="78" t="s">
        <v>2</v>
      </c>
      <c r="X1" s="79"/>
      <c r="Y1" s="79"/>
      <c r="Z1" s="79"/>
      <c r="AA1" s="80"/>
    </row>
    <row r="2" spans="1:35" ht="15.75" x14ac:dyDescent="0.2">
      <c r="A2" s="61" t="s">
        <v>421</v>
      </c>
      <c r="B2" s="68" t="s">
        <v>422</v>
      </c>
      <c r="C2" s="72" t="s">
        <v>5</v>
      </c>
      <c r="D2" s="68" t="s">
        <v>214</v>
      </c>
      <c r="E2" s="72" t="s">
        <v>7</v>
      </c>
      <c r="F2" s="72" t="s">
        <v>8</v>
      </c>
      <c r="G2" s="44" t="s">
        <v>158</v>
      </c>
      <c r="H2" s="45" t="s">
        <v>159</v>
      </c>
      <c r="I2" s="42"/>
      <c r="J2" s="26"/>
      <c r="K2" s="44" t="s">
        <v>160</v>
      </c>
      <c r="L2" s="44" t="s">
        <v>215</v>
      </c>
      <c r="M2" s="3" t="s">
        <v>8</v>
      </c>
      <c r="O2" s="5"/>
      <c r="P2" s="5"/>
      <c r="Q2" s="5"/>
      <c r="W2" s="68" t="s">
        <v>161</v>
      </c>
      <c r="X2" s="68" t="s">
        <v>257</v>
      </c>
      <c r="Y2" s="72" t="s">
        <v>8</v>
      </c>
      <c r="Z2" s="72" t="s">
        <v>188</v>
      </c>
      <c r="AA2" s="72" t="s">
        <v>189</v>
      </c>
    </row>
    <row r="3" spans="1:35" x14ac:dyDescent="0.2">
      <c r="A3" s="37" t="s">
        <v>15</v>
      </c>
      <c r="B3" s="9" t="s">
        <v>16</v>
      </c>
      <c r="C3" s="9" t="s">
        <v>17</v>
      </c>
      <c r="D3" s="34" t="s">
        <v>18</v>
      </c>
      <c r="E3" s="9" t="s">
        <v>19</v>
      </c>
      <c r="F3" s="9" t="s">
        <v>20</v>
      </c>
      <c r="G3" s="39">
        <v>45910.4375</v>
      </c>
      <c r="H3" s="39">
        <v>45972.4375</v>
      </c>
      <c r="I3" s="42"/>
      <c r="J3" s="10"/>
      <c r="K3" s="7" t="s">
        <v>22</v>
      </c>
      <c r="L3" s="7" t="s">
        <v>23</v>
      </c>
      <c r="M3" s="7" t="s">
        <v>20</v>
      </c>
      <c r="O3" s="10"/>
      <c r="W3" s="9" t="s">
        <v>24</v>
      </c>
      <c r="X3" s="9" t="s">
        <v>25</v>
      </c>
      <c r="Y3" s="9" t="s">
        <v>26</v>
      </c>
      <c r="Z3" s="29">
        <v>45972.461805555555</v>
      </c>
      <c r="AA3" s="29">
        <v>45972.472569444442</v>
      </c>
    </row>
    <row r="4" spans="1:35" x14ac:dyDescent="0.2">
      <c r="A4" s="37" t="s">
        <v>29</v>
      </c>
      <c r="B4" s="9" t="s">
        <v>30</v>
      </c>
      <c r="C4" s="9" t="s">
        <v>31</v>
      </c>
      <c r="D4" s="34" t="s">
        <v>32</v>
      </c>
      <c r="E4" s="9" t="s">
        <v>33</v>
      </c>
      <c r="F4" s="9" t="s">
        <v>20</v>
      </c>
      <c r="G4" s="38">
        <v>45910.4375</v>
      </c>
      <c r="H4" s="51">
        <v>45976.418749999997</v>
      </c>
      <c r="I4" s="42"/>
      <c r="J4" s="30"/>
      <c r="K4" s="7" t="s">
        <v>34</v>
      </c>
      <c r="L4" s="7" t="s">
        <v>35</v>
      </c>
      <c r="M4" s="7" t="s">
        <v>20</v>
      </c>
      <c r="O4" s="10"/>
      <c r="W4" s="9" t="s">
        <v>36</v>
      </c>
      <c r="X4" s="9" t="s">
        <v>37</v>
      </c>
      <c r="Y4" s="9" t="s">
        <v>26</v>
      </c>
      <c r="Z4" s="29">
        <v>45972.46875</v>
      </c>
      <c r="AA4" s="29">
        <v>45972.480555555558</v>
      </c>
    </row>
    <row r="5" spans="1:35" x14ac:dyDescent="0.2">
      <c r="A5" s="42"/>
      <c r="B5" s="42"/>
      <c r="C5" s="42"/>
      <c r="D5" s="42"/>
      <c r="E5" s="42"/>
      <c r="F5" s="42"/>
      <c r="G5" s="42"/>
      <c r="H5" s="42"/>
      <c r="I5" s="42"/>
      <c r="K5" s="7" t="s">
        <v>40</v>
      </c>
      <c r="L5" s="7" t="s">
        <v>41</v>
      </c>
      <c r="M5" s="7" t="s">
        <v>20</v>
      </c>
      <c r="O5" s="10"/>
      <c r="W5" s="9" t="s">
        <v>42</v>
      </c>
      <c r="X5" s="9" t="s">
        <v>43</v>
      </c>
      <c r="Y5" s="9" t="s">
        <v>44</v>
      </c>
      <c r="Z5" s="29">
        <v>45972.473611111112</v>
      </c>
      <c r="AA5" s="29">
        <v>45972.489583333336</v>
      </c>
    </row>
    <row r="6" spans="1:35" ht="20.25" x14ac:dyDescent="0.2">
      <c r="A6" s="85" t="s">
        <v>47</v>
      </c>
      <c r="B6" s="85"/>
      <c r="C6" s="85"/>
      <c r="D6" s="85"/>
      <c r="E6" s="85"/>
      <c r="F6" s="85"/>
      <c r="G6" s="85"/>
      <c r="H6" s="85"/>
      <c r="I6" s="85"/>
      <c r="J6" s="22"/>
    </row>
    <row r="7" spans="1:35" ht="20.25" x14ac:dyDescent="0.2">
      <c r="A7" s="67" t="s">
        <v>424</v>
      </c>
      <c r="B7" s="43" t="s">
        <v>423</v>
      </c>
      <c r="C7" s="4" t="s">
        <v>49</v>
      </c>
      <c r="D7" s="43" t="s">
        <v>216</v>
      </c>
      <c r="E7" s="4" t="s">
        <v>7</v>
      </c>
      <c r="F7" s="4" t="s">
        <v>8</v>
      </c>
      <c r="G7" s="47" t="s">
        <v>158</v>
      </c>
      <c r="H7" s="52" t="s">
        <v>159</v>
      </c>
      <c r="I7" s="36" t="s">
        <v>162</v>
      </c>
      <c r="J7" s="26"/>
      <c r="K7" s="90" t="s">
        <v>51</v>
      </c>
      <c r="L7" s="90"/>
      <c r="M7" s="90"/>
      <c r="N7" s="90"/>
      <c r="O7" s="90"/>
      <c r="P7" s="90"/>
      <c r="Q7" s="90"/>
      <c r="R7" s="90"/>
      <c r="S7" s="90"/>
      <c r="T7" s="90"/>
      <c r="U7" s="90"/>
      <c r="W7" s="78" t="s">
        <v>217</v>
      </c>
      <c r="X7" s="79"/>
      <c r="Y7" s="79"/>
      <c r="Z7" s="79"/>
      <c r="AA7" s="79"/>
      <c r="AB7" s="79"/>
      <c r="AC7" s="80"/>
    </row>
    <row r="8" spans="1:35" ht="15.75" x14ac:dyDescent="0.2">
      <c r="A8" s="62" t="s">
        <v>25</v>
      </c>
      <c r="B8" s="63" t="s">
        <v>53</v>
      </c>
      <c r="C8" s="63" t="s">
        <v>54</v>
      </c>
      <c r="D8" s="63" t="s">
        <v>55</v>
      </c>
      <c r="E8" s="64" t="s">
        <v>56</v>
      </c>
      <c r="F8" s="63" t="s">
        <v>20</v>
      </c>
      <c r="G8" s="39">
        <v>45972.479166666664</v>
      </c>
      <c r="H8" s="53"/>
      <c r="I8" s="40"/>
      <c r="J8" s="31"/>
      <c r="K8" s="47" t="s">
        <v>169</v>
      </c>
      <c r="L8" s="47" t="s">
        <v>218</v>
      </c>
      <c r="M8" s="13" t="s">
        <v>60</v>
      </c>
      <c r="N8" s="47" t="s">
        <v>219</v>
      </c>
      <c r="O8" s="13" t="s">
        <v>62</v>
      </c>
      <c r="P8" s="13" t="s">
        <v>63</v>
      </c>
      <c r="Q8" s="13" t="s">
        <v>8</v>
      </c>
      <c r="R8" s="47" t="s">
        <v>258</v>
      </c>
      <c r="S8" s="13" t="s">
        <v>188</v>
      </c>
      <c r="T8" s="13" t="s">
        <v>189</v>
      </c>
      <c r="U8" s="13" t="s">
        <v>220</v>
      </c>
      <c r="W8" s="68" t="s">
        <v>221</v>
      </c>
      <c r="X8" s="68" t="s">
        <v>259</v>
      </c>
      <c r="Y8" s="68" t="s">
        <v>260</v>
      </c>
      <c r="Z8" s="72" t="s">
        <v>164</v>
      </c>
      <c r="AA8" s="72" t="s">
        <v>224</v>
      </c>
      <c r="AB8" s="72" t="s">
        <v>188</v>
      </c>
      <c r="AC8" s="72" t="s">
        <v>189</v>
      </c>
    </row>
    <row r="9" spans="1:35" x14ac:dyDescent="0.2">
      <c r="A9" s="37" t="s">
        <v>37</v>
      </c>
      <c r="B9" s="9" t="s">
        <v>69</v>
      </c>
      <c r="C9" s="9" t="s">
        <v>70</v>
      </c>
      <c r="D9" s="9" t="s">
        <v>71</v>
      </c>
      <c r="E9" s="21" t="s">
        <v>72</v>
      </c>
      <c r="F9" s="9" t="s">
        <v>20</v>
      </c>
      <c r="G9" s="39">
        <v>45972.527777777781</v>
      </c>
      <c r="H9" s="39"/>
      <c r="I9" s="40"/>
      <c r="J9" s="10"/>
      <c r="K9" s="7" t="s">
        <v>74</v>
      </c>
      <c r="L9" s="7" t="s">
        <v>75</v>
      </c>
      <c r="M9" s="7" t="s">
        <v>76</v>
      </c>
      <c r="N9" s="15">
        <v>46003</v>
      </c>
      <c r="O9" s="7" t="s">
        <v>77</v>
      </c>
      <c r="P9" s="7" t="s">
        <v>78</v>
      </c>
      <c r="Q9" s="7" t="s">
        <v>79</v>
      </c>
      <c r="R9" s="7" t="s">
        <v>22</v>
      </c>
      <c r="S9" s="8">
        <v>45972.416666666664</v>
      </c>
      <c r="T9" s="7"/>
      <c r="U9" s="7"/>
      <c r="W9" s="9" t="s">
        <v>225</v>
      </c>
      <c r="X9" s="9" t="s">
        <v>24</v>
      </c>
      <c r="Y9" s="9" t="s">
        <v>124</v>
      </c>
      <c r="Z9" s="9">
        <v>1</v>
      </c>
      <c r="AA9" s="9">
        <v>890</v>
      </c>
      <c r="AB9" s="29">
        <v>45972.465277777781</v>
      </c>
      <c r="AC9" s="29">
        <v>45972.472569444442</v>
      </c>
    </row>
    <row r="10" spans="1:35" x14ac:dyDescent="0.2">
      <c r="A10" s="37" t="s">
        <v>43</v>
      </c>
      <c r="B10" s="9" t="s">
        <v>85</v>
      </c>
      <c r="C10" s="9" t="s">
        <v>86</v>
      </c>
      <c r="D10" s="9" t="s">
        <v>87</v>
      </c>
      <c r="E10" s="21" t="s">
        <v>88</v>
      </c>
      <c r="F10" s="9" t="s">
        <v>20</v>
      </c>
      <c r="G10" s="39">
        <v>45972.53125</v>
      </c>
      <c r="H10" s="39"/>
      <c r="I10" s="40"/>
      <c r="J10" s="10"/>
      <c r="K10" s="7" t="s">
        <v>90</v>
      </c>
      <c r="L10" s="7" t="s">
        <v>91</v>
      </c>
      <c r="M10" s="7" t="s">
        <v>92</v>
      </c>
      <c r="N10" s="15" t="s">
        <v>226</v>
      </c>
      <c r="O10" s="7" t="s">
        <v>93</v>
      </c>
      <c r="P10" s="7" t="s">
        <v>94</v>
      </c>
      <c r="Q10" s="7" t="s">
        <v>79</v>
      </c>
      <c r="R10" s="7" t="s">
        <v>34</v>
      </c>
      <c r="S10" s="8" t="s">
        <v>227</v>
      </c>
      <c r="T10" s="7"/>
      <c r="U10" s="7"/>
      <c r="W10" s="9" t="s">
        <v>228</v>
      </c>
      <c r="X10" s="9" t="s">
        <v>24</v>
      </c>
      <c r="Y10" s="9" t="s">
        <v>198</v>
      </c>
      <c r="Z10" s="9">
        <v>2</v>
      </c>
      <c r="AA10" s="9">
        <v>1290</v>
      </c>
      <c r="AB10" s="29">
        <v>45972.466666666667</v>
      </c>
      <c r="AC10" s="29">
        <v>45972.472569444442</v>
      </c>
    </row>
    <row r="11" spans="1:35" x14ac:dyDescent="0.2">
      <c r="A11" s="37" t="s">
        <v>100</v>
      </c>
      <c r="B11" s="35" t="s">
        <v>101</v>
      </c>
      <c r="C11" s="9" t="s">
        <v>102</v>
      </c>
      <c r="D11" s="9" t="s">
        <v>103</v>
      </c>
      <c r="E11" s="21" t="s">
        <v>104</v>
      </c>
      <c r="F11" s="9" t="s">
        <v>20</v>
      </c>
      <c r="G11" s="39">
        <v>45972.611111111109</v>
      </c>
      <c r="H11" s="39"/>
      <c r="I11" s="40"/>
      <c r="J11" s="10"/>
      <c r="K11" s="7" t="s">
        <v>106</v>
      </c>
      <c r="L11" s="7" t="s">
        <v>107</v>
      </c>
      <c r="M11" s="7" t="s">
        <v>108</v>
      </c>
      <c r="N11" s="15">
        <v>46297</v>
      </c>
      <c r="O11" s="7" t="s">
        <v>109</v>
      </c>
      <c r="P11" s="7" t="s">
        <v>110</v>
      </c>
      <c r="Q11" s="7" t="s">
        <v>79</v>
      </c>
      <c r="R11" s="7" t="s">
        <v>40</v>
      </c>
      <c r="S11" s="8" t="s">
        <v>229</v>
      </c>
      <c r="T11" s="7"/>
      <c r="U11" s="7"/>
      <c r="W11" s="9" t="s">
        <v>230</v>
      </c>
      <c r="X11" s="9" t="s">
        <v>36</v>
      </c>
      <c r="Y11" s="9" t="s">
        <v>133</v>
      </c>
      <c r="Z11" s="9">
        <v>1</v>
      </c>
      <c r="AA11" s="9">
        <v>1590</v>
      </c>
      <c r="AB11" s="29">
        <v>45972.475694444445</v>
      </c>
      <c r="AC11" s="29">
        <v>45972.480555555558</v>
      </c>
    </row>
    <row r="12" spans="1:35" x14ac:dyDescent="0.2">
      <c r="W12" s="9" t="s">
        <v>231</v>
      </c>
      <c r="X12" s="9" t="s">
        <v>42</v>
      </c>
      <c r="Y12" s="9" t="s">
        <v>166</v>
      </c>
      <c r="Z12" s="9">
        <v>1</v>
      </c>
      <c r="AA12" s="9">
        <v>1990</v>
      </c>
      <c r="AB12" s="29">
        <v>45972.475694444445</v>
      </c>
      <c r="AC12" s="29">
        <v>45972.489583333336</v>
      </c>
    </row>
    <row r="13" spans="1:35" ht="20.25" x14ac:dyDescent="0.2">
      <c r="K13" s="90" t="s">
        <v>232</v>
      </c>
      <c r="L13" s="90"/>
      <c r="M13" s="90"/>
      <c r="N13" s="90"/>
      <c r="O13" s="90"/>
      <c r="P13" s="90"/>
      <c r="Q13" s="90"/>
      <c r="R13" s="90"/>
      <c r="S13" s="90"/>
      <c r="T13" s="90"/>
      <c r="U13" s="90"/>
      <c r="W13" s="9" t="s">
        <v>233</v>
      </c>
      <c r="X13" s="9" t="s">
        <v>42</v>
      </c>
      <c r="Y13" s="9" t="s">
        <v>124</v>
      </c>
      <c r="Z13" s="9">
        <v>1</v>
      </c>
      <c r="AA13" s="9">
        <v>890</v>
      </c>
      <c r="AB13" s="29">
        <v>45972.479166666664</v>
      </c>
      <c r="AC13" s="29">
        <v>45972.489583333336</v>
      </c>
    </row>
    <row r="14" spans="1:35" ht="15.75" x14ac:dyDescent="0.2">
      <c r="K14" s="47" t="s">
        <v>234</v>
      </c>
      <c r="L14" s="47" t="s">
        <v>261</v>
      </c>
      <c r="M14" s="47" t="s">
        <v>236</v>
      </c>
      <c r="N14" s="13" t="s">
        <v>171</v>
      </c>
      <c r="O14" s="13" t="s">
        <v>172</v>
      </c>
      <c r="P14" s="13" t="s">
        <v>237</v>
      </c>
      <c r="Q14" s="13" t="s">
        <v>238</v>
      </c>
      <c r="R14" s="13" t="s">
        <v>8</v>
      </c>
      <c r="S14" s="13" t="s">
        <v>188</v>
      </c>
      <c r="T14" s="13" t="s">
        <v>189</v>
      </c>
      <c r="U14" s="13" t="s">
        <v>220</v>
      </c>
    </row>
    <row r="15" spans="1:35" ht="20.25" x14ac:dyDescent="0.2">
      <c r="K15" s="7" t="s">
        <v>167</v>
      </c>
      <c r="L15" s="7" t="s">
        <v>74</v>
      </c>
      <c r="M15" s="7" t="s">
        <v>173</v>
      </c>
      <c r="N15" s="7">
        <v>4500</v>
      </c>
      <c r="O15" s="7">
        <v>100</v>
      </c>
      <c r="P15" s="8">
        <v>45981.416666666664</v>
      </c>
      <c r="Q15" s="8">
        <v>46010.999305555553</v>
      </c>
      <c r="R15" s="7" t="s">
        <v>239</v>
      </c>
      <c r="S15" s="8">
        <v>45972.416666666664</v>
      </c>
      <c r="T15" s="7"/>
      <c r="U15" s="7"/>
      <c r="W15" s="74" t="s">
        <v>52</v>
      </c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</row>
    <row r="16" spans="1:35" ht="15.75" x14ac:dyDescent="0.2">
      <c r="K16" s="7" t="s">
        <v>168</v>
      </c>
      <c r="L16" s="7" t="s">
        <v>74</v>
      </c>
      <c r="M16" s="7" t="s">
        <v>174</v>
      </c>
      <c r="N16" s="7">
        <v>2500</v>
      </c>
      <c r="O16" s="7">
        <v>300</v>
      </c>
      <c r="P16" s="8">
        <v>45981.416666666664</v>
      </c>
      <c r="Q16" s="8">
        <v>46010.999305555553</v>
      </c>
      <c r="R16" s="7" t="s">
        <v>239</v>
      </c>
      <c r="S16" s="8">
        <v>45972.416666666664</v>
      </c>
      <c r="T16" s="7"/>
      <c r="U16" s="7"/>
      <c r="W16" s="43" t="s">
        <v>175</v>
      </c>
      <c r="X16" s="4" t="s">
        <v>13</v>
      </c>
      <c r="Y16" s="4" t="s">
        <v>66</v>
      </c>
      <c r="Z16" s="4" t="s">
        <v>240</v>
      </c>
      <c r="AA16" s="43" t="s">
        <v>384</v>
      </c>
      <c r="AB16" s="4" t="s">
        <v>176</v>
      </c>
      <c r="AC16" s="4" t="s">
        <v>8</v>
      </c>
      <c r="AD16" s="28" t="s">
        <v>144</v>
      </c>
      <c r="AE16" s="28" t="s">
        <v>204</v>
      </c>
      <c r="AF16" s="28" t="s">
        <v>205</v>
      </c>
      <c r="AG16" s="4" t="s">
        <v>188</v>
      </c>
      <c r="AH16" s="4" t="s">
        <v>189</v>
      </c>
      <c r="AI16" s="4" t="s">
        <v>220</v>
      </c>
    </row>
    <row r="17" spans="11:35" x14ac:dyDescent="0.2">
      <c r="K17" s="7" t="s">
        <v>241</v>
      </c>
      <c r="L17" s="7" t="s">
        <v>90</v>
      </c>
      <c r="M17" s="7" t="s">
        <v>177</v>
      </c>
      <c r="N17" s="7">
        <v>3500</v>
      </c>
      <c r="O17" s="7">
        <v>80</v>
      </c>
      <c r="P17" s="8">
        <v>45992.375</v>
      </c>
      <c r="Q17" s="8">
        <v>46036.999305555553</v>
      </c>
      <c r="R17" s="7" t="s">
        <v>239</v>
      </c>
      <c r="S17" s="8" t="s">
        <v>227</v>
      </c>
      <c r="T17" s="7"/>
      <c r="U17" s="7"/>
      <c r="W17" s="9" t="s">
        <v>81</v>
      </c>
      <c r="X17" s="9" t="s">
        <v>43</v>
      </c>
      <c r="Y17" s="29">
        <v>45972.482638888891</v>
      </c>
      <c r="Z17" s="40">
        <v>2880</v>
      </c>
      <c r="AA17" s="9">
        <f>SUM(AB23:AB24) - 300</f>
        <v>2580</v>
      </c>
      <c r="AB17" s="9" t="s">
        <v>178</v>
      </c>
      <c r="AC17" s="9" t="s">
        <v>83</v>
      </c>
      <c r="AD17" s="18" t="s">
        <v>153</v>
      </c>
      <c r="AE17" s="18" t="s">
        <v>211</v>
      </c>
      <c r="AF17" s="18">
        <v>300</v>
      </c>
      <c r="AG17" s="29">
        <v>45972.482638888891</v>
      </c>
      <c r="AH17" s="29">
        <v>45972.493055555555</v>
      </c>
      <c r="AI17" s="9"/>
    </row>
    <row r="18" spans="11:35" x14ac:dyDescent="0.2">
      <c r="K18" s="7" t="s">
        <v>242</v>
      </c>
      <c r="L18" s="7" t="s">
        <v>106</v>
      </c>
      <c r="M18" s="7" t="s">
        <v>173</v>
      </c>
      <c r="N18" s="7">
        <v>8500</v>
      </c>
      <c r="O18" s="7">
        <v>200</v>
      </c>
      <c r="P18" s="8">
        <v>46006.375</v>
      </c>
      <c r="Q18" s="8">
        <v>46062.999305555553</v>
      </c>
      <c r="R18" s="7" t="s">
        <v>239</v>
      </c>
      <c r="S18" s="8" t="s">
        <v>229</v>
      </c>
      <c r="T18" s="7"/>
      <c r="U18" s="7"/>
      <c r="W18" s="9" t="s">
        <v>96</v>
      </c>
      <c r="X18" s="9" t="s">
        <v>243</v>
      </c>
      <c r="Y18" s="29">
        <v>45972.486111111109</v>
      </c>
      <c r="Z18" s="40">
        <v>9500</v>
      </c>
      <c r="AA18" s="9">
        <f>9500 - ( 9500 * 0.1)</f>
        <v>8550</v>
      </c>
      <c r="AB18" s="9" t="s">
        <v>179</v>
      </c>
      <c r="AC18" s="9" t="s">
        <v>98</v>
      </c>
      <c r="AD18" s="18" t="s">
        <v>148</v>
      </c>
      <c r="AE18" s="18" t="s">
        <v>208</v>
      </c>
      <c r="AF18" s="18">
        <v>20</v>
      </c>
      <c r="AG18" s="29">
        <v>45972.486111111109</v>
      </c>
      <c r="AH18" s="29">
        <v>45972.489583333336</v>
      </c>
      <c r="AI18" s="9"/>
    </row>
    <row r="19" spans="11:35" x14ac:dyDescent="0.2">
      <c r="K19" s="7" t="s">
        <v>244</v>
      </c>
      <c r="L19" s="7" t="s">
        <v>106</v>
      </c>
      <c r="M19" s="7" t="s">
        <v>174</v>
      </c>
      <c r="N19" s="7">
        <v>4500</v>
      </c>
      <c r="O19" s="7">
        <v>500</v>
      </c>
      <c r="P19" s="8">
        <v>46006.375</v>
      </c>
      <c r="Q19" s="8">
        <v>46062.999305555553</v>
      </c>
      <c r="R19" s="7" t="s">
        <v>239</v>
      </c>
      <c r="S19" s="8" t="s">
        <v>229</v>
      </c>
      <c r="T19" s="7"/>
      <c r="U19" s="7"/>
      <c r="W19" s="9" t="s">
        <v>112</v>
      </c>
      <c r="X19" s="9" t="s">
        <v>25</v>
      </c>
      <c r="Y19" s="29">
        <v>45972.489583333336</v>
      </c>
      <c r="Z19" s="40">
        <v>890</v>
      </c>
      <c r="AA19" s="9">
        <f>890 - (890 * 0.1)</f>
        <v>801</v>
      </c>
      <c r="AB19" s="9" t="s">
        <v>178</v>
      </c>
      <c r="AC19" s="9" t="s">
        <v>83</v>
      </c>
      <c r="AD19" s="18" t="s">
        <v>148</v>
      </c>
      <c r="AE19" s="18" t="s">
        <v>208</v>
      </c>
      <c r="AF19" s="18">
        <v>20</v>
      </c>
      <c r="AG19" s="29">
        <v>45972.489583333336</v>
      </c>
      <c r="AH19" s="29">
        <v>45972.510416666664</v>
      </c>
      <c r="AI19" s="9"/>
    </row>
    <row r="21" spans="11:35" ht="20.25" x14ac:dyDescent="0.2">
      <c r="K21" s="90" t="s">
        <v>115</v>
      </c>
      <c r="L21" s="90"/>
      <c r="M21" s="90"/>
      <c r="N21" s="90"/>
      <c r="O21" s="90"/>
      <c r="P21" s="90"/>
      <c r="Q21" s="90"/>
      <c r="R21" s="90"/>
      <c r="S21" s="90"/>
      <c r="T21" s="90"/>
      <c r="U21" s="90"/>
      <c r="W21" s="75" t="s">
        <v>245</v>
      </c>
      <c r="X21" s="76"/>
      <c r="Y21" s="76"/>
      <c r="Z21" s="76"/>
      <c r="AA21" s="76"/>
      <c r="AB21" s="76"/>
      <c r="AC21" s="76"/>
      <c r="AD21" s="76"/>
      <c r="AE21" s="77"/>
    </row>
    <row r="22" spans="11:35" ht="15.75" x14ac:dyDescent="0.2">
      <c r="K22" s="47" t="s">
        <v>180</v>
      </c>
      <c r="L22" s="47" t="s">
        <v>246</v>
      </c>
      <c r="M22" s="47" t="s">
        <v>247</v>
      </c>
      <c r="N22" s="13" t="s">
        <v>171</v>
      </c>
      <c r="O22" s="13" t="s">
        <v>172</v>
      </c>
      <c r="P22" s="13" t="s">
        <v>120</v>
      </c>
      <c r="Q22" s="13" t="s">
        <v>8</v>
      </c>
      <c r="R22" s="47" t="s">
        <v>262</v>
      </c>
      <c r="S22" s="13" t="s">
        <v>158</v>
      </c>
      <c r="T22" s="14" t="s">
        <v>159</v>
      </c>
      <c r="U22" s="14" t="s">
        <v>162</v>
      </c>
      <c r="W22" s="43" t="s">
        <v>248</v>
      </c>
      <c r="X22" s="43" t="s">
        <v>263</v>
      </c>
      <c r="Y22" s="43" t="s">
        <v>260</v>
      </c>
      <c r="Z22" s="43" t="s">
        <v>264</v>
      </c>
      <c r="AA22" s="4" t="s">
        <v>164</v>
      </c>
      <c r="AB22" s="4" t="s">
        <v>165</v>
      </c>
      <c r="AC22" s="4" t="s">
        <v>188</v>
      </c>
      <c r="AD22" s="20" t="s">
        <v>189</v>
      </c>
      <c r="AE22" s="13" t="s">
        <v>220</v>
      </c>
    </row>
    <row r="23" spans="11:35" x14ac:dyDescent="0.2">
      <c r="K23" s="7" t="s">
        <v>124</v>
      </c>
      <c r="L23" s="7" t="s">
        <v>183</v>
      </c>
      <c r="M23" s="7" t="s">
        <v>184</v>
      </c>
      <c r="N23" s="7">
        <v>890</v>
      </c>
      <c r="O23" s="7">
        <v>200</v>
      </c>
      <c r="P23" s="7" t="s">
        <v>185</v>
      </c>
      <c r="Q23" s="7" t="s">
        <v>20</v>
      </c>
      <c r="R23" s="7" t="s">
        <v>15</v>
      </c>
      <c r="S23" s="8">
        <v>45972.4375</v>
      </c>
      <c r="T23" s="8">
        <v>45972.440972222219</v>
      </c>
      <c r="U23" s="7"/>
      <c r="W23" s="9" t="s">
        <v>251</v>
      </c>
      <c r="X23" s="9" t="s">
        <v>81</v>
      </c>
      <c r="Y23" s="9" t="s">
        <v>166</v>
      </c>
      <c r="Z23" s="9"/>
      <c r="AA23" s="9">
        <v>1</v>
      </c>
      <c r="AB23" s="9">
        <v>1990</v>
      </c>
      <c r="AC23" s="29">
        <v>45972.482638888891</v>
      </c>
      <c r="AD23" s="29">
        <v>45972.493055555555</v>
      </c>
      <c r="AE23" s="7"/>
    </row>
    <row r="24" spans="11:35" x14ac:dyDescent="0.2">
      <c r="K24" s="40" t="s">
        <v>133</v>
      </c>
      <c r="L24" s="16" t="s">
        <v>190</v>
      </c>
      <c r="M24" s="16" t="s">
        <v>191</v>
      </c>
      <c r="N24" s="7">
        <v>1590</v>
      </c>
      <c r="O24" s="7">
        <v>120</v>
      </c>
      <c r="P24" s="7" t="s">
        <v>192</v>
      </c>
      <c r="Q24" s="7" t="s">
        <v>20</v>
      </c>
      <c r="R24" s="7" t="s">
        <v>15</v>
      </c>
      <c r="S24" s="8">
        <v>45972.4375</v>
      </c>
      <c r="T24" s="12">
        <v>45972.440972222219</v>
      </c>
      <c r="U24" s="7"/>
      <c r="W24" s="9" t="s">
        <v>252</v>
      </c>
      <c r="X24" s="9" t="s">
        <v>81</v>
      </c>
      <c r="Y24" s="9" t="s">
        <v>124</v>
      </c>
      <c r="Z24" s="9"/>
      <c r="AA24" s="9">
        <v>1</v>
      </c>
      <c r="AB24" s="9">
        <v>890</v>
      </c>
      <c r="AC24" s="29">
        <v>45972.482638888891</v>
      </c>
      <c r="AD24" s="29">
        <v>45972.493055555555</v>
      </c>
      <c r="AE24" s="7"/>
    </row>
    <row r="25" spans="11:35" x14ac:dyDescent="0.2">
      <c r="K25" s="40" t="s">
        <v>166</v>
      </c>
      <c r="L25" s="7" t="s">
        <v>194</v>
      </c>
      <c r="M25" s="7" t="s">
        <v>195</v>
      </c>
      <c r="N25" s="7">
        <v>1990</v>
      </c>
      <c r="O25" s="17">
        <v>80</v>
      </c>
      <c r="P25" s="7" t="s">
        <v>196</v>
      </c>
      <c r="Q25" s="7" t="s">
        <v>20</v>
      </c>
      <c r="R25" s="7" t="s">
        <v>29</v>
      </c>
      <c r="S25" s="8">
        <v>45972.444444444445</v>
      </c>
      <c r="T25" s="8">
        <v>45972.447916666664</v>
      </c>
      <c r="U25" s="7"/>
      <c r="W25" s="9" t="s">
        <v>130</v>
      </c>
      <c r="X25" s="9" t="s">
        <v>96</v>
      </c>
      <c r="Y25" s="9"/>
      <c r="Z25" s="9" t="s">
        <v>167</v>
      </c>
      <c r="AA25" s="9">
        <v>1</v>
      </c>
      <c r="AB25" s="9">
        <v>4500</v>
      </c>
      <c r="AC25" s="29">
        <v>45972.486111111109</v>
      </c>
      <c r="AD25" s="29">
        <v>45972.489583333336</v>
      </c>
      <c r="AE25" s="7"/>
    </row>
    <row r="26" spans="11:35" x14ac:dyDescent="0.2">
      <c r="K26" s="40" t="s">
        <v>198</v>
      </c>
      <c r="L26" s="7" t="s">
        <v>199</v>
      </c>
      <c r="M26" s="7" t="s">
        <v>200</v>
      </c>
      <c r="N26" s="7">
        <v>1290</v>
      </c>
      <c r="O26" s="17">
        <v>150</v>
      </c>
      <c r="P26" s="7" t="s">
        <v>201</v>
      </c>
      <c r="Q26" s="7" t="s">
        <v>20</v>
      </c>
      <c r="R26" s="7" t="s">
        <v>29</v>
      </c>
      <c r="S26" s="8">
        <v>45972.444444444445</v>
      </c>
      <c r="T26" s="8">
        <v>45972.447916666664</v>
      </c>
      <c r="U26" s="7"/>
      <c r="W26" s="9" t="s">
        <v>139</v>
      </c>
      <c r="X26" s="9" t="s">
        <v>96</v>
      </c>
      <c r="Y26" s="9"/>
      <c r="Z26" s="9" t="s">
        <v>168</v>
      </c>
      <c r="AA26" s="9">
        <v>2</v>
      </c>
      <c r="AB26" s="9">
        <v>2500</v>
      </c>
      <c r="AC26" s="29">
        <v>45972.486111111109</v>
      </c>
      <c r="AD26" s="29">
        <v>45972.489583333336</v>
      </c>
      <c r="AE26" s="7"/>
    </row>
    <row r="27" spans="11:35" x14ac:dyDescent="0.2">
      <c r="W27" s="9" t="s">
        <v>253</v>
      </c>
      <c r="X27" s="9" t="s">
        <v>112</v>
      </c>
      <c r="Y27" s="9" t="s">
        <v>124</v>
      </c>
      <c r="Z27" s="9"/>
      <c r="AA27" s="9">
        <v>1</v>
      </c>
      <c r="AB27" s="9">
        <v>890</v>
      </c>
      <c r="AC27" s="29">
        <v>45972.489583333336</v>
      </c>
      <c r="AD27" s="29">
        <v>45972.510416666664</v>
      </c>
      <c r="AE27" s="7"/>
    </row>
    <row r="28" spans="11:35" ht="20.25" x14ac:dyDescent="0.2">
      <c r="K28" s="107" t="s">
        <v>143</v>
      </c>
      <c r="L28" s="107"/>
      <c r="M28" s="107"/>
      <c r="N28" s="107"/>
      <c r="O28" s="107"/>
      <c r="P28" s="107"/>
      <c r="Q28" s="107"/>
      <c r="R28" s="107"/>
      <c r="S28" s="107"/>
      <c r="T28" s="107"/>
      <c r="U28" s="107"/>
    </row>
    <row r="29" spans="11:35" ht="20.25" x14ac:dyDescent="0.2">
      <c r="K29" s="69" t="s">
        <v>203</v>
      </c>
      <c r="L29" s="69" t="s">
        <v>254</v>
      </c>
      <c r="M29" s="28" t="s">
        <v>204</v>
      </c>
      <c r="N29" s="28" t="s">
        <v>205</v>
      </c>
      <c r="O29" s="28" t="s">
        <v>206</v>
      </c>
      <c r="P29" s="28" t="s">
        <v>207</v>
      </c>
      <c r="Q29" s="28" t="s">
        <v>8</v>
      </c>
      <c r="R29" s="69" t="s">
        <v>262</v>
      </c>
      <c r="S29" s="28" t="s">
        <v>158</v>
      </c>
      <c r="T29" s="14" t="s">
        <v>159</v>
      </c>
      <c r="U29" s="14" t="s">
        <v>162</v>
      </c>
      <c r="W29" s="73" t="s">
        <v>116</v>
      </c>
      <c r="X29" s="73"/>
      <c r="Y29" s="73"/>
      <c r="Z29" s="73"/>
      <c r="AA29" s="73"/>
      <c r="AB29" s="73"/>
      <c r="AC29" s="73"/>
      <c r="AD29" s="73"/>
      <c r="AE29" s="66"/>
    </row>
    <row r="30" spans="11:35" ht="15.75" x14ac:dyDescent="0.2">
      <c r="K30" s="18" t="s">
        <v>148</v>
      </c>
      <c r="L30" s="18" t="s">
        <v>149</v>
      </c>
      <c r="M30" s="18" t="s">
        <v>208</v>
      </c>
      <c r="N30" s="18">
        <v>20</v>
      </c>
      <c r="O30" s="19" t="s">
        <v>209</v>
      </c>
      <c r="P30" s="19" t="s">
        <v>210</v>
      </c>
      <c r="Q30" s="18" t="s">
        <v>20</v>
      </c>
      <c r="R30" s="18" t="s">
        <v>15</v>
      </c>
      <c r="S30" s="11">
        <v>45972.458333333336</v>
      </c>
      <c r="T30" s="7"/>
      <c r="U30" s="7"/>
      <c r="W30" s="61" t="s">
        <v>121</v>
      </c>
      <c r="X30" s="68" t="s">
        <v>265</v>
      </c>
      <c r="Y30" s="61" t="s">
        <v>186</v>
      </c>
      <c r="Z30" s="61" t="s">
        <v>187</v>
      </c>
      <c r="AA30" s="61" t="s">
        <v>8</v>
      </c>
      <c r="AB30" s="61" t="s">
        <v>188</v>
      </c>
      <c r="AC30" s="61" t="s">
        <v>189</v>
      </c>
      <c r="AD30" s="61" t="s">
        <v>162</v>
      </c>
    </row>
    <row r="31" spans="11:35" x14ac:dyDescent="0.2">
      <c r="K31" s="18" t="s">
        <v>153</v>
      </c>
      <c r="L31" s="18" t="s">
        <v>154</v>
      </c>
      <c r="M31" s="18" t="s">
        <v>211</v>
      </c>
      <c r="N31" s="18">
        <v>300</v>
      </c>
      <c r="O31" s="19" t="s">
        <v>212</v>
      </c>
      <c r="P31" s="19" t="s">
        <v>213</v>
      </c>
      <c r="Q31" s="18" t="s">
        <v>20</v>
      </c>
      <c r="R31" s="18" t="s">
        <v>29</v>
      </c>
      <c r="S31" s="11">
        <v>45976.418749999997</v>
      </c>
      <c r="T31" s="7"/>
      <c r="U31" s="7"/>
      <c r="W31" s="37" t="s">
        <v>129</v>
      </c>
      <c r="X31" s="9" t="s">
        <v>130</v>
      </c>
      <c r="Y31" s="9">
        <v>99</v>
      </c>
      <c r="Z31" s="37" t="s">
        <v>193</v>
      </c>
      <c r="AA31" s="37" t="s">
        <v>132</v>
      </c>
      <c r="AB31" s="29">
        <v>45972.489583333336</v>
      </c>
      <c r="AC31" s="29"/>
      <c r="AD31" s="9"/>
    </row>
    <row r="32" spans="11:35" ht="15.75" x14ac:dyDescent="0.2">
      <c r="U32" s="22"/>
      <c r="V32" s="22"/>
      <c r="W32" s="37" t="s">
        <v>138</v>
      </c>
      <c r="X32" s="9" t="s">
        <v>139</v>
      </c>
      <c r="Y32" s="9">
        <v>1</v>
      </c>
      <c r="Z32" s="37" t="s">
        <v>197</v>
      </c>
      <c r="AA32" s="37" t="s">
        <v>132</v>
      </c>
      <c r="AB32" s="29">
        <v>45972.489583333336</v>
      </c>
      <c r="AC32" s="29"/>
      <c r="AD32" s="9"/>
    </row>
    <row r="33" spans="21:30" ht="15.75" x14ac:dyDescent="0.2">
      <c r="U33" s="5"/>
      <c r="V33" s="5"/>
      <c r="W33" s="37" t="s">
        <v>141</v>
      </c>
      <c r="X33" s="9" t="s">
        <v>139</v>
      </c>
      <c r="Y33" s="9">
        <v>2</v>
      </c>
      <c r="Z33" s="37" t="s">
        <v>202</v>
      </c>
      <c r="AA33" s="37" t="s">
        <v>132</v>
      </c>
      <c r="AB33" s="29">
        <v>45972.489583333336</v>
      </c>
      <c r="AC33" s="29"/>
      <c r="AD33" s="9"/>
    </row>
    <row r="34" spans="21:30" x14ac:dyDescent="0.2">
      <c r="X34" s="10"/>
      <c r="AB34" s="27"/>
    </row>
    <row r="35" spans="21:30" x14ac:dyDescent="0.2">
      <c r="X35" s="10"/>
      <c r="AB35" s="27"/>
    </row>
    <row r="36" spans="21:30" x14ac:dyDescent="0.2">
      <c r="X36" s="10"/>
      <c r="AB36" s="27"/>
    </row>
  </sheetData>
  <mergeCells count="7">
    <mergeCell ref="A1:H1"/>
    <mergeCell ref="A6:I6"/>
    <mergeCell ref="K21:U21"/>
    <mergeCell ref="K28:U28"/>
    <mergeCell ref="K1:M1"/>
    <mergeCell ref="K7:U7"/>
    <mergeCell ref="K13:U13"/>
  </mergeCells>
  <hyperlinks>
    <hyperlink ref="D3" r:id="rId1" xr:uid="{96B0BF04-D116-4EBB-8463-226917B511A1}"/>
    <hyperlink ref="D4" r:id="rId2" xr:uid="{097DBFFB-3747-48C1-951E-511DC16D33B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2A54-D182-442F-BDE1-A76400CF74D4}">
  <dimension ref="A1:AC48"/>
  <sheetViews>
    <sheetView tabSelected="1" zoomScale="85" zoomScaleNormal="85" workbookViewId="0">
      <selection activeCell="H13" sqref="H13"/>
    </sheetView>
  </sheetViews>
  <sheetFormatPr defaultColWidth="38.625" defaultRowHeight="15" x14ac:dyDescent="0.2"/>
  <cols>
    <col min="1" max="1" width="18.125" style="42" bestFit="1" customWidth="1"/>
    <col min="2" max="2" width="15.875" style="42" bestFit="1" customWidth="1"/>
    <col min="3" max="3" width="11.875" style="42" bestFit="1" customWidth="1"/>
    <col min="4" max="4" width="5" style="42" bestFit="1" customWidth="1"/>
    <col min="5" max="5" width="58.25" style="42" bestFit="1" customWidth="1"/>
    <col min="6" max="6" width="8.875" style="42" customWidth="1"/>
    <col min="7" max="7" width="18.5" style="42" bestFit="1" customWidth="1"/>
    <col min="8" max="8" width="15.875" style="42" bestFit="1" customWidth="1"/>
    <col min="9" max="9" width="11.875" style="42" bestFit="1" customWidth="1"/>
    <col min="10" max="10" width="5" style="42" bestFit="1" customWidth="1"/>
    <col min="11" max="11" width="70.625" style="42" bestFit="1" customWidth="1"/>
    <col min="12" max="12" width="10.5" style="42" customWidth="1"/>
    <col min="13" max="13" width="19.875" style="42" bestFit="1" customWidth="1"/>
    <col min="14" max="14" width="15.875" style="42" bestFit="1" customWidth="1"/>
    <col min="15" max="15" width="3.875" style="42" bestFit="1" customWidth="1"/>
    <col min="16" max="16" width="5" style="42" bestFit="1" customWidth="1"/>
    <col min="17" max="17" width="49.125" style="42" bestFit="1" customWidth="1"/>
    <col min="18" max="18" width="13.375" style="42" customWidth="1"/>
    <col min="19" max="19" width="21.5" style="42" bestFit="1" customWidth="1"/>
    <col min="20" max="20" width="15.625" style="42" bestFit="1" customWidth="1"/>
    <col min="21" max="21" width="3.875" style="42" bestFit="1" customWidth="1"/>
    <col min="22" max="22" width="5" style="42" bestFit="1" customWidth="1"/>
    <col min="23" max="23" width="62.125" style="42" bestFit="1" customWidth="1"/>
    <col min="24" max="24" width="14.125" style="42" customWidth="1"/>
    <col min="25" max="25" width="14" style="42" bestFit="1" customWidth="1"/>
    <col min="26" max="26" width="14.625" style="42" bestFit="1" customWidth="1"/>
    <col min="27" max="27" width="11.875" style="42" bestFit="1" customWidth="1"/>
    <col min="28" max="28" width="5" style="42" bestFit="1" customWidth="1"/>
    <col min="29" max="29" width="72.5" style="42" bestFit="1" customWidth="1"/>
    <col min="30" max="16384" width="38.625" style="42"/>
  </cols>
  <sheetData>
    <row r="1" spans="1:29" ht="20.25" x14ac:dyDescent="0.2">
      <c r="A1" s="85" t="s">
        <v>266</v>
      </c>
      <c r="B1" s="85"/>
      <c r="C1" s="85"/>
      <c r="D1" s="85"/>
      <c r="E1" s="85"/>
      <c r="G1" s="85" t="s">
        <v>267</v>
      </c>
      <c r="H1" s="85"/>
      <c r="I1" s="85"/>
      <c r="J1" s="85"/>
      <c r="K1" s="85"/>
      <c r="M1" s="85" t="s">
        <v>268</v>
      </c>
      <c r="N1" s="85"/>
      <c r="O1" s="85"/>
      <c r="P1" s="85"/>
      <c r="Q1" s="85"/>
      <c r="S1" s="85" t="s">
        <v>269</v>
      </c>
      <c r="T1" s="85"/>
      <c r="U1" s="85"/>
      <c r="V1" s="85"/>
      <c r="W1" s="85"/>
      <c r="Y1" s="85" t="s">
        <v>270</v>
      </c>
      <c r="Z1" s="85"/>
      <c r="AA1" s="85"/>
      <c r="AB1" s="85"/>
      <c r="AC1" s="85"/>
    </row>
    <row r="2" spans="1:29" ht="15.75" x14ac:dyDescent="0.2">
      <c r="A2" s="70" t="s">
        <v>271</v>
      </c>
      <c r="B2" s="70" t="s">
        <v>272</v>
      </c>
      <c r="C2" s="70" t="s">
        <v>273</v>
      </c>
      <c r="D2" s="70" t="s">
        <v>303</v>
      </c>
      <c r="E2" s="70" t="s">
        <v>274</v>
      </c>
      <c r="G2" s="70" t="s">
        <v>300</v>
      </c>
      <c r="H2" s="70" t="s">
        <v>301</v>
      </c>
      <c r="I2" s="70" t="s">
        <v>302</v>
      </c>
      <c r="J2" s="70" t="s">
        <v>303</v>
      </c>
      <c r="K2" s="70" t="s">
        <v>304</v>
      </c>
      <c r="M2" s="70" t="s">
        <v>300</v>
      </c>
      <c r="N2" s="70" t="s">
        <v>301</v>
      </c>
      <c r="O2" s="70" t="s">
        <v>302</v>
      </c>
      <c r="P2" s="70" t="s">
        <v>303</v>
      </c>
      <c r="Q2" s="70" t="s">
        <v>304</v>
      </c>
      <c r="S2" s="70" t="s">
        <v>300</v>
      </c>
      <c r="T2" s="70" t="s">
        <v>301</v>
      </c>
      <c r="U2" s="70" t="s">
        <v>302</v>
      </c>
      <c r="V2" s="70" t="s">
        <v>303</v>
      </c>
      <c r="W2" s="70" t="s">
        <v>304</v>
      </c>
      <c r="Y2" s="70" t="s">
        <v>300</v>
      </c>
      <c r="Z2" s="70" t="s">
        <v>301</v>
      </c>
      <c r="AA2" s="70" t="s">
        <v>302</v>
      </c>
      <c r="AB2" s="70" t="s">
        <v>303</v>
      </c>
      <c r="AC2" s="70" t="s">
        <v>304</v>
      </c>
    </row>
    <row r="3" spans="1:29" x14ac:dyDescent="0.2">
      <c r="A3" s="81" t="s">
        <v>3</v>
      </c>
      <c r="B3" s="81" t="s">
        <v>305</v>
      </c>
      <c r="C3" s="81" t="s">
        <v>275</v>
      </c>
      <c r="D3" s="81" t="s">
        <v>306</v>
      </c>
      <c r="E3" s="81" t="s">
        <v>299</v>
      </c>
      <c r="G3" s="81" t="s">
        <v>10</v>
      </c>
      <c r="H3" s="81" t="s">
        <v>305</v>
      </c>
      <c r="I3" s="81" t="s">
        <v>275</v>
      </c>
      <c r="J3" s="81" t="s">
        <v>306</v>
      </c>
      <c r="K3" s="81" t="s">
        <v>322</v>
      </c>
      <c r="M3" s="81" t="s">
        <v>117</v>
      </c>
      <c r="N3" s="81" t="s">
        <v>305</v>
      </c>
      <c r="O3" s="81" t="s">
        <v>275</v>
      </c>
      <c r="P3" s="81" t="s">
        <v>306</v>
      </c>
      <c r="Q3" s="81" t="s">
        <v>347</v>
      </c>
      <c r="S3" s="81" t="s">
        <v>12</v>
      </c>
      <c r="T3" s="81" t="s">
        <v>305</v>
      </c>
      <c r="U3" s="81" t="s">
        <v>275</v>
      </c>
      <c r="V3" s="81" t="s">
        <v>306</v>
      </c>
      <c r="W3" s="81" t="s">
        <v>369</v>
      </c>
      <c r="Y3" s="81" t="s">
        <v>276</v>
      </c>
      <c r="Z3" s="81" t="s">
        <v>305</v>
      </c>
      <c r="AA3" s="81" t="s">
        <v>275</v>
      </c>
      <c r="AB3" s="81" t="s">
        <v>306</v>
      </c>
      <c r="AC3" s="81" t="s">
        <v>401</v>
      </c>
    </row>
    <row r="4" spans="1:29" ht="30" x14ac:dyDescent="0.2">
      <c r="A4" s="81" t="s">
        <v>5</v>
      </c>
      <c r="B4" s="81" t="s">
        <v>307</v>
      </c>
      <c r="C4" s="81" t="s">
        <v>277</v>
      </c>
      <c r="D4" s="81" t="s">
        <v>308</v>
      </c>
      <c r="E4" s="81" t="s">
        <v>309</v>
      </c>
      <c r="G4" s="81" t="s">
        <v>11</v>
      </c>
      <c r="H4" s="81" t="s">
        <v>307</v>
      </c>
      <c r="I4" s="81" t="s">
        <v>310</v>
      </c>
      <c r="J4" s="81" t="s">
        <v>308</v>
      </c>
      <c r="K4" s="81" t="s">
        <v>323</v>
      </c>
      <c r="M4" s="81" t="s">
        <v>118</v>
      </c>
      <c r="N4" s="81" t="s">
        <v>307</v>
      </c>
      <c r="O4" s="81" t="s">
        <v>277</v>
      </c>
      <c r="P4" s="81" t="s">
        <v>308</v>
      </c>
      <c r="Q4" s="81" t="s">
        <v>278</v>
      </c>
      <c r="S4" s="81" t="s">
        <v>13</v>
      </c>
      <c r="T4" s="81" t="s">
        <v>305</v>
      </c>
      <c r="U4" s="81" t="s">
        <v>279</v>
      </c>
      <c r="V4" s="81" t="s">
        <v>308</v>
      </c>
      <c r="W4" s="81" t="s">
        <v>370</v>
      </c>
      <c r="Y4" s="81" t="s">
        <v>122</v>
      </c>
      <c r="Z4" s="81" t="s">
        <v>305</v>
      </c>
      <c r="AA4" s="81" t="s">
        <v>279</v>
      </c>
      <c r="AB4" s="81" t="s">
        <v>308</v>
      </c>
      <c r="AC4" s="81" t="s">
        <v>402</v>
      </c>
    </row>
    <row r="5" spans="1:29" ht="30" x14ac:dyDescent="0.2">
      <c r="A5" s="81" t="s">
        <v>6</v>
      </c>
      <c r="B5" s="81" t="s">
        <v>307</v>
      </c>
      <c r="C5" s="81" t="s">
        <v>310</v>
      </c>
      <c r="D5" s="81" t="s">
        <v>308</v>
      </c>
      <c r="E5" s="81" t="s">
        <v>298</v>
      </c>
      <c r="G5" s="81" t="s">
        <v>8</v>
      </c>
      <c r="H5" s="81" t="s">
        <v>312</v>
      </c>
      <c r="I5" s="81" t="s">
        <v>277</v>
      </c>
      <c r="J5" s="81" t="s">
        <v>308</v>
      </c>
      <c r="K5" s="81" t="s">
        <v>324</v>
      </c>
      <c r="M5" s="81" t="s">
        <v>181</v>
      </c>
      <c r="N5" s="81" t="s">
        <v>348</v>
      </c>
      <c r="O5" s="81" t="s">
        <v>277</v>
      </c>
      <c r="P5" s="81" t="s">
        <v>308</v>
      </c>
      <c r="Q5" s="81" t="s">
        <v>349</v>
      </c>
      <c r="S5" s="81" t="s">
        <v>8</v>
      </c>
      <c r="T5" s="81" t="s">
        <v>312</v>
      </c>
      <c r="U5" s="81" t="s">
        <v>277</v>
      </c>
      <c r="V5" s="81" t="s">
        <v>308</v>
      </c>
      <c r="W5" s="81" t="s">
        <v>371</v>
      </c>
      <c r="Y5" s="81" t="s">
        <v>186</v>
      </c>
      <c r="Z5" s="81" t="s">
        <v>312</v>
      </c>
      <c r="AA5" s="81" t="s">
        <v>277</v>
      </c>
      <c r="AB5" s="81" t="s">
        <v>308</v>
      </c>
      <c r="AC5" s="81" t="s">
        <v>403</v>
      </c>
    </row>
    <row r="6" spans="1:29" ht="30" x14ac:dyDescent="0.2">
      <c r="A6" s="81" t="s">
        <v>4</v>
      </c>
      <c r="B6" s="81" t="s">
        <v>311</v>
      </c>
      <c r="C6" s="81" t="s">
        <v>310</v>
      </c>
      <c r="D6" s="81" t="s">
        <v>308</v>
      </c>
      <c r="E6" s="81" t="s">
        <v>297</v>
      </c>
      <c r="G6" s="108" t="s">
        <v>411</v>
      </c>
      <c r="H6" s="108"/>
      <c r="I6" s="108"/>
      <c r="J6" s="108"/>
      <c r="K6" s="108"/>
      <c r="M6" s="81" t="s">
        <v>171</v>
      </c>
      <c r="N6" s="81" t="s">
        <v>338</v>
      </c>
      <c r="O6" s="81" t="s">
        <v>277</v>
      </c>
      <c r="P6" s="81" t="s">
        <v>308</v>
      </c>
      <c r="Q6" s="81" t="s">
        <v>350</v>
      </c>
      <c r="S6" s="81" t="s">
        <v>188</v>
      </c>
      <c r="T6" s="81" t="s">
        <v>314</v>
      </c>
      <c r="U6" s="81" t="s">
        <v>277</v>
      </c>
      <c r="V6" s="81" t="s">
        <v>308</v>
      </c>
      <c r="W6" s="81" t="s">
        <v>372</v>
      </c>
      <c r="Y6" s="81" t="s">
        <v>187</v>
      </c>
      <c r="Z6" s="81" t="s">
        <v>348</v>
      </c>
      <c r="AA6" s="81" t="s">
        <v>310</v>
      </c>
      <c r="AB6" s="81" t="s">
        <v>308</v>
      </c>
      <c r="AC6" s="81" t="s">
        <v>404</v>
      </c>
    </row>
    <row r="7" spans="1:29" x14ac:dyDescent="0.2">
      <c r="A7" s="81" t="s">
        <v>7</v>
      </c>
      <c r="B7" s="81" t="s">
        <v>312</v>
      </c>
      <c r="C7" s="81" t="s">
        <v>277</v>
      </c>
      <c r="D7" s="81" t="s">
        <v>308</v>
      </c>
      <c r="E7" s="81" t="s">
        <v>313</v>
      </c>
      <c r="M7" s="81" t="s">
        <v>172</v>
      </c>
      <c r="N7" s="81" t="s">
        <v>281</v>
      </c>
      <c r="O7" s="81" t="s">
        <v>277</v>
      </c>
      <c r="P7" s="81" t="s">
        <v>308</v>
      </c>
      <c r="Q7" s="81" t="s">
        <v>351</v>
      </c>
      <c r="S7" s="81" t="s">
        <v>189</v>
      </c>
      <c r="T7" s="81" t="s">
        <v>314</v>
      </c>
      <c r="U7" s="81" t="s">
        <v>277</v>
      </c>
      <c r="V7" s="81" t="s">
        <v>308</v>
      </c>
      <c r="W7" s="81" t="s">
        <v>345</v>
      </c>
      <c r="Y7" s="81" t="s">
        <v>8</v>
      </c>
      <c r="Z7" s="81" t="s">
        <v>312</v>
      </c>
      <c r="AA7" s="81" t="s">
        <v>277</v>
      </c>
      <c r="AB7" s="81" t="s">
        <v>308</v>
      </c>
      <c r="AC7" s="81" t="s">
        <v>405</v>
      </c>
    </row>
    <row r="8" spans="1:29" ht="20.25" x14ac:dyDescent="0.2">
      <c r="A8" s="81" t="s">
        <v>8</v>
      </c>
      <c r="B8" s="81" t="s">
        <v>312</v>
      </c>
      <c r="C8" s="81" t="s">
        <v>277</v>
      </c>
      <c r="D8" s="81" t="s">
        <v>308</v>
      </c>
      <c r="E8" s="81" t="s">
        <v>294</v>
      </c>
      <c r="G8" s="85" t="s">
        <v>280</v>
      </c>
      <c r="H8" s="85"/>
      <c r="I8" s="85"/>
      <c r="J8" s="85"/>
      <c r="K8" s="85"/>
      <c r="M8" s="81" t="s">
        <v>120</v>
      </c>
      <c r="N8" s="81" t="s">
        <v>311</v>
      </c>
      <c r="O8" s="81" t="s">
        <v>277</v>
      </c>
      <c r="P8" s="81" t="s">
        <v>308</v>
      </c>
      <c r="Q8" s="81" t="s">
        <v>352</v>
      </c>
      <c r="S8" s="109" t="s">
        <v>416</v>
      </c>
      <c r="T8" s="109"/>
      <c r="U8" s="109"/>
      <c r="V8" s="109"/>
      <c r="W8" s="109"/>
      <c r="Y8" s="81" t="s">
        <v>188</v>
      </c>
      <c r="Z8" s="81" t="s">
        <v>314</v>
      </c>
      <c r="AA8" s="81" t="s">
        <v>277</v>
      </c>
      <c r="AB8" s="81" t="s">
        <v>308</v>
      </c>
      <c r="AC8" s="81" t="s">
        <v>406</v>
      </c>
    </row>
    <row r="9" spans="1:29" ht="15.75" x14ac:dyDescent="0.2">
      <c r="A9" s="81" t="s">
        <v>188</v>
      </c>
      <c r="B9" s="81" t="s">
        <v>314</v>
      </c>
      <c r="C9" s="81" t="s">
        <v>277</v>
      </c>
      <c r="D9" s="81" t="s">
        <v>308</v>
      </c>
      <c r="E9" s="81" t="s">
        <v>295</v>
      </c>
      <c r="G9" s="70" t="s">
        <v>300</v>
      </c>
      <c r="H9" s="70" t="s">
        <v>301</v>
      </c>
      <c r="I9" s="70" t="s">
        <v>302</v>
      </c>
      <c r="J9" s="70" t="s">
        <v>303</v>
      </c>
      <c r="K9" s="70" t="s">
        <v>304</v>
      </c>
      <c r="M9" s="81" t="s">
        <v>8</v>
      </c>
      <c r="N9" s="81" t="s">
        <v>312</v>
      </c>
      <c r="O9" s="81" t="s">
        <v>277</v>
      </c>
      <c r="P9" s="81" t="s">
        <v>308</v>
      </c>
      <c r="Q9" s="81" t="s">
        <v>353</v>
      </c>
      <c r="Y9" s="81" t="s">
        <v>189</v>
      </c>
      <c r="Z9" s="81" t="s">
        <v>314</v>
      </c>
      <c r="AA9" s="81" t="s">
        <v>277</v>
      </c>
      <c r="AB9" s="81" t="s">
        <v>308</v>
      </c>
      <c r="AC9" s="81" t="s">
        <v>407</v>
      </c>
    </row>
    <row r="10" spans="1:29" ht="20.25" x14ac:dyDescent="0.2">
      <c r="A10" s="81" t="s">
        <v>189</v>
      </c>
      <c r="B10" s="81" t="s">
        <v>314</v>
      </c>
      <c r="C10" s="81" t="s">
        <v>277</v>
      </c>
      <c r="D10" s="81" t="s">
        <v>308</v>
      </c>
      <c r="E10" s="81" t="s">
        <v>296</v>
      </c>
      <c r="G10" s="81" t="s">
        <v>58</v>
      </c>
      <c r="H10" s="81" t="s">
        <v>305</v>
      </c>
      <c r="I10" s="81" t="s">
        <v>275</v>
      </c>
      <c r="J10" s="81" t="s">
        <v>306</v>
      </c>
      <c r="K10" s="81" t="s">
        <v>325</v>
      </c>
      <c r="M10" s="81" t="s">
        <v>182</v>
      </c>
      <c r="N10" s="81" t="s">
        <v>305</v>
      </c>
      <c r="O10" s="81" t="s">
        <v>279</v>
      </c>
      <c r="P10" s="81" t="s">
        <v>308</v>
      </c>
      <c r="Q10" s="81" t="s">
        <v>354</v>
      </c>
      <c r="S10" s="85" t="s">
        <v>282</v>
      </c>
      <c r="T10" s="85"/>
      <c r="U10" s="85"/>
      <c r="V10" s="85"/>
      <c r="W10" s="85"/>
      <c r="Y10" s="81" t="s">
        <v>220</v>
      </c>
      <c r="Z10" s="81" t="s">
        <v>314</v>
      </c>
      <c r="AA10" s="81" t="s">
        <v>277</v>
      </c>
      <c r="AB10" s="81" t="s">
        <v>308</v>
      </c>
      <c r="AC10" s="81" t="s">
        <v>408</v>
      </c>
    </row>
    <row r="11" spans="1:29" ht="15.75" x14ac:dyDescent="0.2">
      <c r="A11" s="108" t="s">
        <v>409</v>
      </c>
      <c r="B11" s="108"/>
      <c r="C11" s="108"/>
      <c r="D11" s="108"/>
      <c r="E11" s="108"/>
      <c r="G11" s="81" t="s">
        <v>59</v>
      </c>
      <c r="H11" s="81" t="s">
        <v>311</v>
      </c>
      <c r="I11" s="81" t="s">
        <v>277</v>
      </c>
      <c r="J11" s="81" t="s">
        <v>308</v>
      </c>
      <c r="K11" s="81" t="s">
        <v>326</v>
      </c>
      <c r="M11" s="81" t="s">
        <v>188</v>
      </c>
      <c r="N11" s="81" t="s">
        <v>314</v>
      </c>
      <c r="O11" s="81" t="s">
        <v>277</v>
      </c>
      <c r="P11" s="81" t="s">
        <v>308</v>
      </c>
      <c r="Q11" s="81" t="s">
        <v>355</v>
      </c>
      <c r="S11" s="70" t="s">
        <v>300</v>
      </c>
      <c r="T11" s="70" t="s">
        <v>301</v>
      </c>
      <c r="U11" s="70" t="s">
        <v>302</v>
      </c>
      <c r="V11" s="70" t="s">
        <v>303</v>
      </c>
      <c r="W11" s="70" t="s">
        <v>304</v>
      </c>
      <c r="Y11" s="108" t="s">
        <v>420</v>
      </c>
      <c r="Z11" s="108"/>
      <c r="AA11" s="108"/>
      <c r="AB11" s="108"/>
      <c r="AC11" s="108"/>
    </row>
    <row r="12" spans="1:29" x14ac:dyDescent="0.2">
      <c r="G12" s="81" t="s">
        <v>60</v>
      </c>
      <c r="H12" s="81" t="s">
        <v>283</v>
      </c>
      <c r="I12" s="81" t="s">
        <v>277</v>
      </c>
      <c r="J12" s="81" t="s">
        <v>308</v>
      </c>
      <c r="K12" s="81" t="s">
        <v>327</v>
      </c>
      <c r="M12" s="81" t="s">
        <v>189</v>
      </c>
      <c r="N12" s="81" t="s">
        <v>314</v>
      </c>
      <c r="O12" s="81" t="s">
        <v>277</v>
      </c>
      <c r="P12" s="81" t="s">
        <v>308</v>
      </c>
      <c r="Q12" s="81" t="s">
        <v>356</v>
      </c>
      <c r="S12" s="81" t="s">
        <v>284</v>
      </c>
      <c r="T12" s="81" t="s">
        <v>305</v>
      </c>
      <c r="U12" s="81" t="s">
        <v>275</v>
      </c>
      <c r="V12" s="81" t="s">
        <v>306</v>
      </c>
      <c r="W12" s="81" t="s">
        <v>373</v>
      </c>
    </row>
    <row r="13" spans="1:29" ht="20.25" x14ac:dyDescent="0.2">
      <c r="A13" s="85" t="s">
        <v>285</v>
      </c>
      <c r="B13" s="85"/>
      <c r="C13" s="85"/>
      <c r="D13" s="85"/>
      <c r="E13" s="85"/>
      <c r="G13" s="81" t="s">
        <v>61</v>
      </c>
      <c r="H13" s="81" t="s">
        <v>286</v>
      </c>
      <c r="I13" s="81" t="s">
        <v>277</v>
      </c>
      <c r="J13" s="81" t="s">
        <v>308</v>
      </c>
      <c r="K13" s="81" t="s">
        <v>287</v>
      </c>
      <c r="M13" s="81" t="s">
        <v>220</v>
      </c>
      <c r="N13" s="81" t="s">
        <v>314</v>
      </c>
      <c r="O13" s="81" t="s">
        <v>277</v>
      </c>
      <c r="P13" s="81" t="s">
        <v>308</v>
      </c>
      <c r="Q13" s="81" t="s">
        <v>357</v>
      </c>
      <c r="S13" s="81" t="s">
        <v>12</v>
      </c>
      <c r="T13" s="81" t="s">
        <v>305</v>
      </c>
      <c r="U13" s="81" t="s">
        <v>279</v>
      </c>
      <c r="V13" s="81" t="s">
        <v>308</v>
      </c>
      <c r="W13" s="81" t="s">
        <v>374</v>
      </c>
    </row>
    <row r="14" spans="1:29" ht="15.75" x14ac:dyDescent="0.2">
      <c r="A14" s="70" t="s">
        <v>300</v>
      </c>
      <c r="B14" s="70" t="s">
        <v>301</v>
      </c>
      <c r="C14" s="70" t="s">
        <v>302</v>
      </c>
      <c r="D14" s="70" t="s">
        <v>303</v>
      </c>
      <c r="E14" s="70" t="s">
        <v>304</v>
      </c>
      <c r="G14" s="81" t="s">
        <v>62</v>
      </c>
      <c r="H14" s="81" t="s">
        <v>311</v>
      </c>
      <c r="I14" s="81" t="s">
        <v>277</v>
      </c>
      <c r="J14" s="81" t="s">
        <v>308</v>
      </c>
      <c r="K14" s="81" t="s">
        <v>328</v>
      </c>
      <c r="M14" s="108" t="s">
        <v>414</v>
      </c>
      <c r="N14" s="108"/>
      <c r="O14" s="108"/>
      <c r="P14" s="108"/>
      <c r="Q14" s="108"/>
      <c r="S14" s="81" t="s">
        <v>117</v>
      </c>
      <c r="T14" s="81" t="s">
        <v>305</v>
      </c>
      <c r="U14" s="81" t="s">
        <v>279</v>
      </c>
      <c r="V14" s="81" t="s">
        <v>308</v>
      </c>
      <c r="W14" s="81" t="s">
        <v>375</v>
      </c>
    </row>
    <row r="15" spans="1:29" x14ac:dyDescent="0.2">
      <c r="A15" s="81" t="s">
        <v>13</v>
      </c>
      <c r="B15" s="81" t="s">
        <v>305</v>
      </c>
      <c r="C15" s="81" t="s">
        <v>275</v>
      </c>
      <c r="D15" s="81" t="s">
        <v>306</v>
      </c>
      <c r="E15" s="81" t="s">
        <v>315</v>
      </c>
      <c r="G15" s="81" t="s">
        <v>63</v>
      </c>
      <c r="H15" s="81" t="s">
        <v>311</v>
      </c>
      <c r="I15" s="81" t="s">
        <v>277</v>
      </c>
      <c r="J15" s="81" t="s">
        <v>308</v>
      </c>
      <c r="K15" s="81" t="s">
        <v>329</v>
      </c>
      <c r="S15" s="81" t="s">
        <v>163</v>
      </c>
      <c r="T15" s="81" t="s">
        <v>305</v>
      </c>
      <c r="U15" s="81" t="s">
        <v>279</v>
      </c>
      <c r="V15" s="81" t="s">
        <v>308</v>
      </c>
      <c r="W15" s="81" t="s">
        <v>376</v>
      </c>
    </row>
    <row r="16" spans="1:29" ht="20.25" x14ac:dyDescent="0.2">
      <c r="A16" s="81" t="s">
        <v>49</v>
      </c>
      <c r="B16" s="81" t="s">
        <v>307</v>
      </c>
      <c r="C16" s="81" t="s">
        <v>277</v>
      </c>
      <c r="D16" s="81" t="s">
        <v>308</v>
      </c>
      <c r="E16" s="81" t="s">
        <v>288</v>
      </c>
      <c r="G16" s="81" t="s">
        <v>8</v>
      </c>
      <c r="H16" s="81" t="s">
        <v>312</v>
      </c>
      <c r="I16" s="81" t="s">
        <v>277</v>
      </c>
      <c r="J16" s="81" t="s">
        <v>308</v>
      </c>
      <c r="K16" s="81" t="s">
        <v>330</v>
      </c>
      <c r="M16" s="85" t="s">
        <v>289</v>
      </c>
      <c r="N16" s="85"/>
      <c r="O16" s="85"/>
      <c r="P16" s="85"/>
      <c r="Q16" s="85"/>
      <c r="S16" s="81" t="s">
        <v>164</v>
      </c>
      <c r="T16" s="81" t="s">
        <v>281</v>
      </c>
      <c r="U16" s="81" t="s">
        <v>277</v>
      </c>
      <c r="V16" s="81" t="s">
        <v>308</v>
      </c>
      <c r="W16" s="81" t="s">
        <v>377</v>
      </c>
    </row>
    <row r="17" spans="1:23" ht="18" customHeight="1" x14ac:dyDescent="0.2">
      <c r="A17" s="81" t="s">
        <v>50</v>
      </c>
      <c r="B17" s="81" t="s">
        <v>307</v>
      </c>
      <c r="C17" s="81" t="s">
        <v>310</v>
      </c>
      <c r="D17" s="81" t="s">
        <v>308</v>
      </c>
      <c r="E17" s="81" t="s">
        <v>316</v>
      </c>
      <c r="G17" s="81" t="s">
        <v>10</v>
      </c>
      <c r="H17" s="81" t="s">
        <v>305</v>
      </c>
      <c r="I17" s="81" t="s">
        <v>279</v>
      </c>
      <c r="J17" s="81" t="s">
        <v>308</v>
      </c>
      <c r="K17" s="81" t="s">
        <v>331</v>
      </c>
      <c r="M17" s="70" t="s">
        <v>300</v>
      </c>
      <c r="N17" s="70" t="s">
        <v>301</v>
      </c>
      <c r="O17" s="70" t="s">
        <v>302</v>
      </c>
      <c r="P17" s="70" t="s">
        <v>303</v>
      </c>
      <c r="Q17" s="70" t="s">
        <v>304</v>
      </c>
      <c r="S17" s="81" t="s">
        <v>224</v>
      </c>
      <c r="T17" s="81" t="s">
        <v>338</v>
      </c>
      <c r="U17" s="81" t="s">
        <v>277</v>
      </c>
      <c r="V17" s="81" t="s">
        <v>308</v>
      </c>
      <c r="W17" s="81" t="s">
        <v>378</v>
      </c>
    </row>
    <row r="18" spans="1:23" ht="18.75" customHeight="1" x14ac:dyDescent="0.2">
      <c r="A18" s="81" t="s">
        <v>48</v>
      </c>
      <c r="B18" s="81" t="s">
        <v>311</v>
      </c>
      <c r="C18" s="81" t="s">
        <v>310</v>
      </c>
      <c r="D18" s="81" t="s">
        <v>308</v>
      </c>
      <c r="E18" s="81" t="s">
        <v>317</v>
      </c>
      <c r="G18" s="81" t="s">
        <v>188</v>
      </c>
      <c r="H18" s="81" t="s">
        <v>314</v>
      </c>
      <c r="I18" s="81" t="s">
        <v>277</v>
      </c>
      <c r="J18" s="81" t="s">
        <v>308</v>
      </c>
      <c r="K18" s="81" t="s">
        <v>332</v>
      </c>
      <c r="M18" s="81" t="s">
        <v>144</v>
      </c>
      <c r="N18" s="81" t="s">
        <v>305</v>
      </c>
      <c r="O18" s="81" t="s">
        <v>275</v>
      </c>
      <c r="P18" s="81" t="s">
        <v>306</v>
      </c>
      <c r="Q18" s="81" t="s">
        <v>358</v>
      </c>
      <c r="S18" s="81" t="s">
        <v>188</v>
      </c>
      <c r="T18" s="81" t="s">
        <v>314</v>
      </c>
      <c r="U18" s="81" t="s">
        <v>277</v>
      </c>
      <c r="V18" s="81" t="s">
        <v>308</v>
      </c>
      <c r="W18" s="81" t="s">
        <v>379</v>
      </c>
    </row>
    <row r="19" spans="1:23" x14ac:dyDescent="0.2">
      <c r="A19" s="81" t="s">
        <v>7</v>
      </c>
      <c r="B19" s="81" t="s">
        <v>312</v>
      </c>
      <c r="C19" s="81" t="s">
        <v>277</v>
      </c>
      <c r="D19" s="81" t="s">
        <v>308</v>
      </c>
      <c r="E19" s="81" t="s">
        <v>318</v>
      </c>
      <c r="G19" s="81" t="s">
        <v>189</v>
      </c>
      <c r="H19" s="81" t="s">
        <v>314</v>
      </c>
      <c r="I19" s="81" t="s">
        <v>277</v>
      </c>
      <c r="J19" s="81" t="s">
        <v>308</v>
      </c>
      <c r="K19" s="81" t="s">
        <v>333</v>
      </c>
      <c r="M19" s="81" t="s">
        <v>145</v>
      </c>
      <c r="N19" s="81" t="s">
        <v>307</v>
      </c>
      <c r="O19" s="81" t="s">
        <v>277</v>
      </c>
      <c r="P19" s="81" t="s">
        <v>308</v>
      </c>
      <c r="Q19" s="81" t="s">
        <v>359</v>
      </c>
      <c r="S19" s="81" t="s">
        <v>189</v>
      </c>
      <c r="T19" s="81" t="s">
        <v>314</v>
      </c>
      <c r="U19" s="81" t="s">
        <v>277</v>
      </c>
      <c r="V19" s="81" t="s">
        <v>308</v>
      </c>
      <c r="W19" s="81" t="s">
        <v>380</v>
      </c>
    </row>
    <row r="20" spans="1:23" ht="15.75" x14ac:dyDescent="0.2">
      <c r="A20" s="81" t="s">
        <v>8</v>
      </c>
      <c r="B20" s="81" t="s">
        <v>312</v>
      </c>
      <c r="C20" s="81" t="s">
        <v>277</v>
      </c>
      <c r="D20" s="81" t="s">
        <v>308</v>
      </c>
      <c r="E20" s="81" t="s">
        <v>319</v>
      </c>
      <c r="G20" s="81" t="s">
        <v>220</v>
      </c>
      <c r="H20" s="81" t="s">
        <v>314</v>
      </c>
      <c r="I20" s="81" t="s">
        <v>277</v>
      </c>
      <c r="J20" s="81" t="s">
        <v>308</v>
      </c>
      <c r="K20" s="81" t="s">
        <v>334</v>
      </c>
      <c r="M20" s="81" t="s">
        <v>204</v>
      </c>
      <c r="N20" s="81" t="s">
        <v>312</v>
      </c>
      <c r="O20" s="81" t="s">
        <v>277</v>
      </c>
      <c r="P20" s="81" t="s">
        <v>308</v>
      </c>
      <c r="Q20" s="81" t="s">
        <v>360</v>
      </c>
      <c r="S20" s="108" t="s">
        <v>417</v>
      </c>
      <c r="T20" s="108"/>
      <c r="U20" s="108"/>
      <c r="V20" s="108"/>
      <c r="W20" s="108"/>
    </row>
    <row r="21" spans="1:23" ht="15.75" x14ac:dyDescent="0.2">
      <c r="A21" s="81" t="s">
        <v>188</v>
      </c>
      <c r="B21" s="81" t="s">
        <v>314</v>
      </c>
      <c r="C21" s="81" t="s">
        <v>277</v>
      </c>
      <c r="D21" s="81" t="s">
        <v>308</v>
      </c>
      <c r="E21" s="81" t="s">
        <v>320</v>
      </c>
      <c r="G21" s="108" t="s">
        <v>412</v>
      </c>
      <c r="H21" s="108"/>
      <c r="I21" s="108"/>
      <c r="J21" s="108"/>
      <c r="K21" s="108"/>
      <c r="M21" s="81" t="s">
        <v>205</v>
      </c>
      <c r="N21" s="81" t="s">
        <v>338</v>
      </c>
      <c r="O21" s="81" t="s">
        <v>277</v>
      </c>
      <c r="P21" s="81" t="s">
        <v>308</v>
      </c>
      <c r="Q21" s="81" t="s">
        <v>361</v>
      </c>
    </row>
    <row r="22" spans="1:23" ht="20.25" x14ac:dyDescent="0.2">
      <c r="A22" s="81" t="s">
        <v>189</v>
      </c>
      <c r="B22" s="81" t="s">
        <v>314</v>
      </c>
      <c r="C22" s="81" t="s">
        <v>277</v>
      </c>
      <c r="D22" s="81" t="s">
        <v>308</v>
      </c>
      <c r="E22" s="81" t="s">
        <v>321</v>
      </c>
      <c r="M22" s="81" t="s">
        <v>206</v>
      </c>
      <c r="N22" s="81" t="s">
        <v>286</v>
      </c>
      <c r="O22" s="81" t="s">
        <v>277</v>
      </c>
      <c r="P22" s="81" t="s">
        <v>308</v>
      </c>
      <c r="Q22" s="81" t="s">
        <v>362</v>
      </c>
      <c r="S22" s="85" t="s">
        <v>290</v>
      </c>
      <c r="T22" s="85"/>
      <c r="U22" s="85"/>
      <c r="V22" s="85"/>
      <c r="W22" s="85"/>
    </row>
    <row r="23" spans="1:23" ht="20.25" x14ac:dyDescent="0.2">
      <c r="A23" s="108" t="s">
        <v>410</v>
      </c>
      <c r="B23" s="108"/>
      <c r="C23" s="108"/>
      <c r="D23" s="108"/>
      <c r="E23" s="108"/>
      <c r="G23" s="85" t="s">
        <v>291</v>
      </c>
      <c r="H23" s="85"/>
      <c r="I23" s="85"/>
      <c r="J23" s="85"/>
      <c r="K23" s="85"/>
      <c r="M23" s="81" t="s">
        <v>207</v>
      </c>
      <c r="N23" s="81" t="s">
        <v>286</v>
      </c>
      <c r="O23" s="81" t="s">
        <v>277</v>
      </c>
      <c r="P23" s="81" t="s">
        <v>308</v>
      </c>
      <c r="Q23" s="81" t="s">
        <v>363</v>
      </c>
      <c r="S23" s="70" t="s">
        <v>300</v>
      </c>
      <c r="T23" s="70" t="s">
        <v>301</v>
      </c>
      <c r="U23" s="70" t="s">
        <v>302</v>
      </c>
      <c r="V23" s="70" t="s">
        <v>303</v>
      </c>
      <c r="W23" s="70" t="s">
        <v>304</v>
      </c>
    </row>
    <row r="24" spans="1:23" ht="15.75" x14ac:dyDescent="0.2">
      <c r="G24" s="70" t="s">
        <v>300</v>
      </c>
      <c r="H24" s="70" t="s">
        <v>301</v>
      </c>
      <c r="I24" s="70" t="s">
        <v>302</v>
      </c>
      <c r="J24" s="70" t="s">
        <v>303</v>
      </c>
      <c r="K24" s="70" t="s">
        <v>304</v>
      </c>
      <c r="M24" s="81" t="s">
        <v>8</v>
      </c>
      <c r="N24" s="81" t="s">
        <v>312</v>
      </c>
      <c r="O24" s="81" t="s">
        <v>277</v>
      </c>
      <c r="P24" s="81" t="s">
        <v>308</v>
      </c>
      <c r="Q24" s="81" t="s">
        <v>364</v>
      </c>
      <c r="S24" s="81" t="s">
        <v>65</v>
      </c>
      <c r="T24" s="81" t="s">
        <v>305</v>
      </c>
      <c r="U24" s="81" t="s">
        <v>275</v>
      </c>
      <c r="V24" s="81" t="s">
        <v>306</v>
      </c>
      <c r="W24" s="81" t="s">
        <v>381</v>
      </c>
    </row>
    <row r="25" spans="1:23" x14ac:dyDescent="0.2">
      <c r="G25" s="81" t="s">
        <v>163</v>
      </c>
      <c r="H25" s="81" t="s">
        <v>305</v>
      </c>
      <c r="I25" s="81" t="s">
        <v>275</v>
      </c>
      <c r="J25" s="81" t="s">
        <v>306</v>
      </c>
      <c r="K25" s="81" t="s">
        <v>335</v>
      </c>
      <c r="M25" s="81" t="s">
        <v>182</v>
      </c>
      <c r="N25" s="81" t="s">
        <v>305</v>
      </c>
      <c r="O25" s="81" t="s">
        <v>279</v>
      </c>
      <c r="P25" s="81" t="s">
        <v>308</v>
      </c>
      <c r="Q25" s="81" t="s">
        <v>365</v>
      </c>
      <c r="S25" s="81" t="s">
        <v>13</v>
      </c>
      <c r="T25" s="81" t="s">
        <v>305</v>
      </c>
      <c r="U25" s="81" t="s">
        <v>279</v>
      </c>
      <c r="V25" s="81" t="s">
        <v>308</v>
      </c>
      <c r="W25" s="81" t="s">
        <v>382</v>
      </c>
    </row>
    <row r="26" spans="1:23" x14ac:dyDescent="0.2">
      <c r="G26" s="81" t="s">
        <v>58</v>
      </c>
      <c r="H26" s="81" t="s">
        <v>305</v>
      </c>
      <c r="I26" s="81" t="s">
        <v>279</v>
      </c>
      <c r="J26" s="81" t="s">
        <v>308</v>
      </c>
      <c r="K26" s="81" t="s">
        <v>336</v>
      </c>
      <c r="M26" s="81" t="s">
        <v>188</v>
      </c>
      <c r="N26" s="81" t="s">
        <v>314</v>
      </c>
      <c r="O26" s="81" t="s">
        <v>277</v>
      </c>
      <c r="P26" s="81" t="s">
        <v>308</v>
      </c>
      <c r="Q26" s="81" t="s">
        <v>366</v>
      </c>
      <c r="S26" s="81" t="s">
        <v>66</v>
      </c>
      <c r="T26" s="81" t="s">
        <v>314</v>
      </c>
      <c r="U26" s="81" t="s">
        <v>277</v>
      </c>
      <c r="V26" s="81" t="s">
        <v>308</v>
      </c>
      <c r="W26" s="81" t="s">
        <v>383</v>
      </c>
    </row>
    <row r="27" spans="1:23" x14ac:dyDescent="0.2">
      <c r="G27" s="81" t="s">
        <v>292</v>
      </c>
      <c r="H27" s="81" t="s">
        <v>307</v>
      </c>
      <c r="I27" s="81" t="s">
        <v>277</v>
      </c>
      <c r="J27" s="81" t="s">
        <v>308</v>
      </c>
      <c r="K27" s="81" t="s">
        <v>337</v>
      </c>
      <c r="M27" s="81" t="s">
        <v>189</v>
      </c>
      <c r="N27" s="81" t="s">
        <v>314</v>
      </c>
      <c r="O27" s="81" t="s">
        <v>277</v>
      </c>
      <c r="P27" s="81" t="s">
        <v>308</v>
      </c>
      <c r="Q27" s="81" t="s">
        <v>367</v>
      </c>
      <c r="S27" s="81" t="s">
        <v>384</v>
      </c>
      <c r="T27" s="81" t="s">
        <v>338</v>
      </c>
      <c r="U27" s="81" t="s">
        <v>277</v>
      </c>
      <c r="V27" s="81" t="s">
        <v>306</v>
      </c>
      <c r="W27" s="81" t="s">
        <v>385</v>
      </c>
    </row>
    <row r="28" spans="1:23" x14ac:dyDescent="0.2">
      <c r="G28" s="81" t="s">
        <v>171</v>
      </c>
      <c r="H28" s="81" t="s">
        <v>338</v>
      </c>
      <c r="I28" s="81" t="s">
        <v>277</v>
      </c>
      <c r="J28" s="81" t="s">
        <v>308</v>
      </c>
      <c r="K28" s="81" t="s">
        <v>339</v>
      </c>
      <c r="M28" s="81" t="s">
        <v>220</v>
      </c>
      <c r="N28" s="81" t="s">
        <v>314</v>
      </c>
      <c r="O28" s="81" t="s">
        <v>277</v>
      </c>
      <c r="P28" s="81" t="s">
        <v>308</v>
      </c>
      <c r="Q28" s="81" t="s">
        <v>368</v>
      </c>
      <c r="S28" s="81" t="s">
        <v>240</v>
      </c>
      <c r="T28" s="81" t="s">
        <v>338</v>
      </c>
      <c r="U28" s="81" t="s">
        <v>277</v>
      </c>
      <c r="V28" s="81" t="s">
        <v>308</v>
      </c>
      <c r="W28" s="81" t="s">
        <v>386</v>
      </c>
    </row>
    <row r="29" spans="1:23" ht="15.75" x14ac:dyDescent="0.2">
      <c r="G29" s="81" t="s">
        <v>172</v>
      </c>
      <c r="H29" s="81" t="s">
        <v>281</v>
      </c>
      <c r="I29" s="81" t="s">
        <v>277</v>
      </c>
      <c r="J29" s="81" t="s">
        <v>308</v>
      </c>
      <c r="K29" s="81" t="s">
        <v>340</v>
      </c>
      <c r="M29" s="108" t="s">
        <v>415</v>
      </c>
      <c r="N29" s="108"/>
      <c r="O29" s="108"/>
      <c r="P29" s="108"/>
      <c r="Q29" s="108"/>
      <c r="S29" s="81" t="s">
        <v>176</v>
      </c>
      <c r="T29" s="81" t="s">
        <v>348</v>
      </c>
      <c r="U29" s="81" t="s">
        <v>277</v>
      </c>
      <c r="V29" s="81" t="s">
        <v>308</v>
      </c>
      <c r="W29" s="81" t="s">
        <v>387</v>
      </c>
    </row>
    <row r="30" spans="1:23" x14ac:dyDescent="0.2">
      <c r="G30" s="81" t="s">
        <v>237</v>
      </c>
      <c r="H30" s="81" t="s">
        <v>314</v>
      </c>
      <c r="I30" s="81" t="s">
        <v>277</v>
      </c>
      <c r="J30" s="81" t="s">
        <v>308</v>
      </c>
      <c r="K30" s="81" t="s">
        <v>341</v>
      </c>
      <c r="S30" s="81" t="s">
        <v>8</v>
      </c>
      <c r="T30" s="81" t="s">
        <v>312</v>
      </c>
      <c r="U30" s="81" t="s">
        <v>277</v>
      </c>
      <c r="V30" s="81" t="s">
        <v>308</v>
      </c>
      <c r="W30" s="81" t="s">
        <v>388</v>
      </c>
    </row>
    <row r="31" spans="1:23" x14ac:dyDescent="0.2">
      <c r="G31" s="81" t="s">
        <v>238</v>
      </c>
      <c r="H31" s="81" t="s">
        <v>314</v>
      </c>
      <c r="I31" s="81" t="s">
        <v>277</v>
      </c>
      <c r="J31" s="81" t="s">
        <v>308</v>
      </c>
      <c r="K31" s="81" t="s">
        <v>342</v>
      </c>
      <c r="S31" s="81" t="s">
        <v>144</v>
      </c>
      <c r="T31" s="81" t="s">
        <v>305</v>
      </c>
      <c r="U31" s="81" t="s">
        <v>279</v>
      </c>
      <c r="V31" s="81" t="s">
        <v>308</v>
      </c>
      <c r="W31" s="81" t="s">
        <v>389</v>
      </c>
    </row>
    <row r="32" spans="1:23" x14ac:dyDescent="0.2">
      <c r="G32" s="81" t="s">
        <v>8</v>
      </c>
      <c r="H32" s="81" t="s">
        <v>312</v>
      </c>
      <c r="I32" s="81" t="s">
        <v>277</v>
      </c>
      <c r="J32" s="81" t="s">
        <v>308</v>
      </c>
      <c r="K32" s="81" t="s">
        <v>343</v>
      </c>
      <c r="S32" s="81" t="s">
        <v>188</v>
      </c>
      <c r="T32" s="81" t="s">
        <v>314</v>
      </c>
      <c r="U32" s="81" t="s">
        <v>277</v>
      </c>
      <c r="V32" s="81" t="s">
        <v>308</v>
      </c>
      <c r="W32" s="81" t="s">
        <v>390</v>
      </c>
    </row>
    <row r="33" spans="7:23" x14ac:dyDescent="0.2">
      <c r="G33" s="81" t="s">
        <v>188</v>
      </c>
      <c r="H33" s="81" t="s">
        <v>314</v>
      </c>
      <c r="I33" s="81" t="s">
        <v>277</v>
      </c>
      <c r="J33" s="81" t="s">
        <v>308</v>
      </c>
      <c r="K33" s="81" t="s">
        <v>344</v>
      </c>
      <c r="S33" s="81" t="s">
        <v>189</v>
      </c>
      <c r="T33" s="81" t="s">
        <v>314</v>
      </c>
      <c r="U33" s="81" t="s">
        <v>277</v>
      </c>
      <c r="V33" s="81" t="s">
        <v>308</v>
      </c>
      <c r="W33" s="81" t="s">
        <v>391</v>
      </c>
    </row>
    <row r="34" spans="7:23" x14ac:dyDescent="0.2">
      <c r="G34" s="81" t="s">
        <v>189</v>
      </c>
      <c r="H34" s="81" t="s">
        <v>314</v>
      </c>
      <c r="I34" s="81" t="s">
        <v>277</v>
      </c>
      <c r="J34" s="81" t="s">
        <v>308</v>
      </c>
      <c r="K34" s="81" t="s">
        <v>345</v>
      </c>
      <c r="S34" s="81" t="s">
        <v>220</v>
      </c>
      <c r="T34" s="81" t="s">
        <v>314</v>
      </c>
      <c r="U34" s="81" t="s">
        <v>277</v>
      </c>
      <c r="V34" s="81" t="s">
        <v>308</v>
      </c>
      <c r="W34" s="81" t="s">
        <v>392</v>
      </c>
    </row>
    <row r="35" spans="7:23" ht="15.75" x14ac:dyDescent="0.2">
      <c r="G35" s="81" t="s">
        <v>220</v>
      </c>
      <c r="H35" s="81" t="s">
        <v>314</v>
      </c>
      <c r="I35" s="81" t="s">
        <v>277</v>
      </c>
      <c r="J35" s="81" t="s">
        <v>308</v>
      </c>
      <c r="K35" s="81" t="s">
        <v>346</v>
      </c>
      <c r="S35" s="108" t="s">
        <v>418</v>
      </c>
      <c r="T35" s="108"/>
      <c r="U35" s="108"/>
      <c r="V35" s="108"/>
      <c r="W35" s="108"/>
    </row>
    <row r="36" spans="7:23" ht="15.75" x14ac:dyDescent="0.2">
      <c r="G36" s="108" t="s">
        <v>413</v>
      </c>
      <c r="H36" s="108"/>
      <c r="I36" s="108"/>
      <c r="J36" s="108"/>
      <c r="K36" s="108"/>
    </row>
    <row r="37" spans="7:23" ht="20.25" x14ac:dyDescent="0.2">
      <c r="S37" s="85" t="s">
        <v>293</v>
      </c>
      <c r="T37" s="85"/>
      <c r="U37" s="85"/>
      <c r="V37" s="85"/>
      <c r="W37" s="85"/>
    </row>
    <row r="38" spans="7:23" ht="15.75" x14ac:dyDescent="0.2">
      <c r="S38" s="70" t="s">
        <v>300</v>
      </c>
      <c r="T38" s="70" t="s">
        <v>301</v>
      </c>
      <c r="U38" s="70" t="s">
        <v>302</v>
      </c>
      <c r="V38" s="70" t="s">
        <v>303</v>
      </c>
      <c r="W38" s="70" t="s">
        <v>304</v>
      </c>
    </row>
    <row r="39" spans="7:23" x14ac:dyDescent="0.2">
      <c r="S39" s="81" t="s">
        <v>122</v>
      </c>
      <c r="T39" s="81" t="s">
        <v>305</v>
      </c>
      <c r="U39" s="81" t="s">
        <v>275</v>
      </c>
      <c r="V39" s="81" t="s">
        <v>306</v>
      </c>
      <c r="W39" s="81" t="s">
        <v>393</v>
      </c>
    </row>
    <row r="40" spans="7:23" x14ac:dyDescent="0.2">
      <c r="S40" s="81" t="s">
        <v>65</v>
      </c>
      <c r="T40" s="81" t="s">
        <v>305</v>
      </c>
      <c r="U40" s="81" t="s">
        <v>279</v>
      </c>
      <c r="V40" s="81" t="s">
        <v>308</v>
      </c>
      <c r="W40" s="81" t="s">
        <v>394</v>
      </c>
    </row>
    <row r="41" spans="7:23" x14ac:dyDescent="0.2">
      <c r="S41" s="81" t="s">
        <v>117</v>
      </c>
      <c r="T41" s="81" t="s">
        <v>305</v>
      </c>
      <c r="U41" s="81" t="s">
        <v>279</v>
      </c>
      <c r="V41" s="81" t="s">
        <v>308</v>
      </c>
      <c r="W41" s="81" t="s">
        <v>395</v>
      </c>
    </row>
    <row r="42" spans="7:23" x14ac:dyDescent="0.2">
      <c r="S42" s="81" t="s">
        <v>163</v>
      </c>
      <c r="T42" s="81" t="s">
        <v>305</v>
      </c>
      <c r="U42" s="81" t="s">
        <v>279</v>
      </c>
      <c r="V42" s="81" t="s">
        <v>308</v>
      </c>
      <c r="W42" s="81" t="s">
        <v>376</v>
      </c>
    </row>
    <row r="43" spans="7:23" x14ac:dyDescent="0.2">
      <c r="S43" s="81" t="s">
        <v>164</v>
      </c>
      <c r="T43" s="81" t="s">
        <v>281</v>
      </c>
      <c r="U43" s="81" t="s">
        <v>277</v>
      </c>
      <c r="V43" s="81" t="s">
        <v>308</v>
      </c>
      <c r="W43" s="81" t="s">
        <v>396</v>
      </c>
    </row>
    <row r="44" spans="7:23" x14ac:dyDescent="0.2">
      <c r="S44" s="81" t="s">
        <v>165</v>
      </c>
      <c r="T44" s="81" t="s">
        <v>338</v>
      </c>
      <c r="U44" s="81" t="s">
        <v>277</v>
      </c>
      <c r="V44" s="81" t="s">
        <v>308</v>
      </c>
      <c r="W44" s="81" t="s">
        <v>397</v>
      </c>
    </row>
    <row r="45" spans="7:23" x14ac:dyDescent="0.2">
      <c r="S45" s="81" t="s">
        <v>188</v>
      </c>
      <c r="T45" s="81" t="s">
        <v>314</v>
      </c>
      <c r="U45" s="81" t="s">
        <v>277</v>
      </c>
      <c r="V45" s="81" t="s">
        <v>308</v>
      </c>
      <c r="W45" s="81" t="s">
        <v>398</v>
      </c>
    </row>
    <row r="46" spans="7:23" x14ac:dyDescent="0.2">
      <c r="S46" s="81" t="s">
        <v>189</v>
      </c>
      <c r="T46" s="81" t="s">
        <v>314</v>
      </c>
      <c r="U46" s="81" t="s">
        <v>277</v>
      </c>
      <c r="V46" s="81" t="s">
        <v>308</v>
      </c>
      <c r="W46" s="81" t="s">
        <v>399</v>
      </c>
    </row>
    <row r="47" spans="7:23" x14ac:dyDescent="0.2">
      <c r="S47" s="81" t="s">
        <v>220</v>
      </c>
      <c r="T47" s="81" t="s">
        <v>314</v>
      </c>
      <c r="U47" s="81" t="s">
        <v>277</v>
      </c>
      <c r="V47" s="81" t="s">
        <v>308</v>
      </c>
      <c r="W47" s="81" t="s">
        <v>400</v>
      </c>
    </row>
    <row r="48" spans="7:23" ht="15.75" x14ac:dyDescent="0.2">
      <c r="S48" s="108" t="s">
        <v>419</v>
      </c>
      <c r="T48" s="108"/>
      <c r="U48" s="108"/>
      <c r="V48" s="108"/>
      <c r="W48" s="108"/>
    </row>
  </sheetData>
  <mergeCells count="24">
    <mergeCell ref="Y1:AC1"/>
    <mergeCell ref="Y11:AC11"/>
    <mergeCell ref="S20:W20"/>
    <mergeCell ref="S35:W35"/>
    <mergeCell ref="S1:W1"/>
    <mergeCell ref="S10:W10"/>
    <mergeCell ref="S8:W8"/>
    <mergeCell ref="A1:E1"/>
    <mergeCell ref="A13:E13"/>
    <mergeCell ref="G1:K1"/>
    <mergeCell ref="G8:K8"/>
    <mergeCell ref="M1:Q1"/>
    <mergeCell ref="A23:E23"/>
    <mergeCell ref="A11:E11"/>
    <mergeCell ref="G6:K6"/>
    <mergeCell ref="S48:W48"/>
    <mergeCell ref="M29:Q29"/>
    <mergeCell ref="M14:Q14"/>
    <mergeCell ref="G21:K21"/>
    <mergeCell ref="G36:K36"/>
    <mergeCell ref="G23:K23"/>
    <mergeCell ref="M16:Q16"/>
    <mergeCell ref="S22:W22"/>
    <mergeCell ref="S37:W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1NF</vt:lpstr>
      <vt:lpstr>2NF</vt:lpstr>
      <vt:lpstr>3NF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Tee KTN</cp:lastModifiedBy>
  <cp:revision/>
  <dcterms:created xsi:type="dcterms:W3CDTF">2025-11-11T06:47:01Z</dcterms:created>
  <dcterms:modified xsi:type="dcterms:W3CDTF">2025-11-15T15:50:32Z</dcterms:modified>
  <cp:category/>
  <cp:contentStatus/>
</cp:coreProperties>
</file>